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DD97820-A758-45DD-B17A-49762695286D}" xr6:coauthVersionLast="47" xr6:coauthVersionMax="47" xr10:uidLastSave="{00000000-0000-0000-0000-000000000000}"/>
  <bookViews>
    <workbookView xWindow="1950" yWindow="1950" windowWidth="21600" windowHeight="12645" activeTab="4" xr2:uid="{00000000-000D-0000-FFFF-FFFF00000000}"/>
  </bookViews>
  <sheets>
    <sheet name="Instructions" sheetId="1" r:id="rId1"/>
    <sheet name="Lists" sheetId="2" state="hidden" r:id="rId2"/>
    <sheet name="Daily Log" sheetId="3" r:id="rId3"/>
    <sheet name="Test Case Tracker" sheetId="4" r:id="rId4"/>
    <sheet name="Productivity Dashboard" sheetId="5" r:id="rId5"/>
    <sheet name="Scorecard" sheetId="6" r:id="rId6"/>
    <sheet name="Application Coverage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D10" i="6"/>
  <c r="D9" i="6"/>
  <c r="D8" i="6"/>
  <c r="D7" i="6"/>
  <c r="D6" i="6"/>
  <c r="D5" i="6"/>
  <c r="D11" i="6" s="1"/>
  <c r="B14" i="6" s="1"/>
  <c r="N12" i="3"/>
  <c r="M12" i="3"/>
  <c r="L12" i="3"/>
  <c r="I12" i="3"/>
  <c r="H12" i="3"/>
  <c r="G12" i="3"/>
  <c r="F12" i="3"/>
  <c r="J12" i="3" s="1"/>
  <c r="E12" i="3"/>
  <c r="D12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B43" i="5"/>
  <c r="B42" i="5"/>
  <c r="B39" i="5"/>
  <c r="B38" i="5"/>
  <c r="B37" i="5"/>
  <c r="B36" i="5"/>
  <c r="B35" i="5"/>
  <c r="B34" i="5"/>
  <c r="B33" i="5"/>
  <c r="B30" i="5"/>
  <c r="B29" i="5"/>
  <c r="B28" i="5"/>
  <c r="B27" i="5"/>
  <c r="B24" i="5"/>
  <c r="B23" i="5"/>
  <c r="B22" i="5"/>
  <c r="B21" i="5"/>
  <c r="B18" i="5"/>
  <c r="B17" i="5"/>
  <c r="B16" i="5"/>
  <c r="B15" i="5"/>
  <c r="B14" i="5"/>
  <c r="B13" i="5"/>
  <c r="B10" i="5"/>
  <c r="B9" i="5"/>
  <c r="B8" i="5"/>
  <c r="B7" i="5"/>
  <c r="N6" i="5"/>
  <c r="B6" i="5"/>
  <c r="N5" i="5"/>
  <c r="B5" i="5"/>
  <c r="N4" i="5"/>
  <c r="N3" i="5"/>
  <c r="N2" i="5"/>
  <c r="B13" i="6" l="1"/>
</calcChain>
</file>

<file path=xl/sharedStrings.xml><?xml version="1.0" encoding="utf-8"?>
<sst xmlns="http://schemas.openxmlformats.org/spreadsheetml/2006/main" count="1989" uniqueCount="585">
  <si>
    <t>ANZ-Aligned Automation Productivity Tracker</t>
  </si>
  <si>
    <t>10-day individual automation evaluation — ParaBank demo (https://parabank.parasoft.com/parabank/index.htm)</t>
  </si>
  <si>
    <t>Legend</t>
  </si>
  <si>
    <t>Yellow fill, blue text</t>
  </si>
  <si>
    <t>Cells you (tester) or the evaluator type into. Safe to edit.</t>
  </si>
  <si>
    <t>Light blue fill</t>
  </si>
  <si>
    <t>Example row — shows the expected format. Do not delete; add new rows below it.</t>
  </si>
  <si>
    <t>Black text, no fill</t>
  </si>
  <si>
    <t>Formulas. Do not overwrite — they recalculate automatically.</t>
  </si>
  <si>
    <t>How the workbook is organised</t>
  </si>
  <si>
    <t>Daily Log</t>
  </si>
  <si>
    <t>Fill in once per day (Day 1–10). Tracks planned vs completed cases, pass/fail counts, hours, flakiness, and blockers.</t>
  </si>
  <si>
    <t>Test Case Tracker</t>
  </si>
  <si>
    <t>One row per automated test case. Use the dropdowns for Module, Type, Priority, Complexity, Status and Result. Add rows as you go — validation is pre-applied to row 300.</t>
  </si>
  <si>
    <t>Lists</t>
  </si>
  <si>
    <t>Reference lists that power the dropdowns. Leave this sheet alone unless you want to add a new dropdown option.</t>
  </si>
  <si>
    <t>Productivity Dashboard</t>
  </si>
  <si>
    <t>Auto-calculated from the two sheets above. Nothing to type here — just read it.</t>
  </si>
  <si>
    <t>Scorecard</t>
  </si>
  <si>
    <t>Evaluator fills in a 1–5 rating per criterion at the end of Day 10. Weighted score and banding calculate automatically.</t>
  </si>
  <si>
    <t>Application Coverage</t>
  </si>
  <si>
    <t>Run-level results for ParaBank, ACME web profiles, and Android/Appium coverage. Only observed results are recorded; blocked and unrun suites are labeled separately.</t>
  </si>
  <si>
    <t>Notes</t>
  </si>
  <si>
    <t>•</t>
  </si>
  <si>
    <t>This tracker measures volume AND quality together — a high case count with a low pass rate or high flakiness is not strong productivity.</t>
  </si>
  <si>
    <t>The Test Case ID convention is TC-&lt;Module abbreviation&gt;-&lt;3-digit number&gt;, e.g. TC-TRF-001 for a Transfers test.</t>
  </si>
  <si>
    <t>Update the Test Case Tracker as you build each script, not retrospectively — same-day logging gives more accurate velocity data.</t>
  </si>
  <si>
    <t>Module</t>
  </si>
  <si>
    <t>Test Type</t>
  </si>
  <si>
    <t>Priority</t>
  </si>
  <si>
    <t>Complexity</t>
  </si>
  <si>
    <t>Automation Status</t>
  </si>
  <si>
    <t>Execution Result</t>
  </si>
  <si>
    <t>Y/N</t>
  </si>
  <si>
    <t>Day</t>
  </si>
  <si>
    <t>Framework</t>
  </si>
  <si>
    <t>Positive</t>
  </si>
  <si>
    <t>Critical</t>
  </si>
  <si>
    <t>Low</t>
  </si>
  <si>
    <t>Not Started</t>
  </si>
  <si>
    <t>Pass</t>
  </si>
  <si>
    <t>Y</t>
  </si>
  <si>
    <t>1</t>
  </si>
  <si>
    <t>Registration</t>
  </si>
  <si>
    <t>Negative</t>
  </si>
  <si>
    <t>High</t>
  </si>
  <si>
    <t>Medium</t>
  </si>
  <si>
    <t>In Progress</t>
  </si>
  <si>
    <t>Fail</t>
  </si>
  <si>
    <t>N</t>
  </si>
  <si>
    <t>2</t>
  </si>
  <si>
    <t>Authentication</t>
  </si>
  <si>
    <t>Boundary</t>
  </si>
  <si>
    <t>Automated</t>
  </si>
  <si>
    <t>Not Run</t>
  </si>
  <si>
    <t>3</t>
  </si>
  <si>
    <t>Accounts</t>
  </si>
  <si>
    <t>Security</t>
  </si>
  <si>
    <t>Blocked</t>
  </si>
  <si>
    <t>Skipped</t>
  </si>
  <si>
    <t>4</t>
  </si>
  <si>
    <t>Transfers</t>
  </si>
  <si>
    <t>Performance</t>
  </si>
  <si>
    <t>Flaky</t>
  </si>
  <si>
    <t>5</t>
  </si>
  <si>
    <t>Bill Payment</t>
  </si>
  <si>
    <t>Regression</t>
  </si>
  <si>
    <t>6</t>
  </si>
  <si>
    <t>Transaction Search</t>
  </si>
  <si>
    <t>7</t>
  </si>
  <si>
    <t>Lending</t>
  </si>
  <si>
    <t>8</t>
  </si>
  <si>
    <t>API-REST</t>
  </si>
  <si>
    <t>9</t>
  </si>
  <si>
    <t>API-SOAP</t>
  </si>
  <si>
    <t>10</t>
  </si>
  <si>
    <t>Cross-Browser</t>
  </si>
  <si>
    <t>Accessibility</t>
  </si>
  <si>
    <t>Mocks-Extensions</t>
  </si>
  <si>
    <t>ACME Web</t>
  </si>
  <si>
    <t>ACME Mobile</t>
  </si>
  <si>
    <t>Login &amp; Authentication</t>
  </si>
  <si>
    <t>Customer Registration</t>
  </si>
  <si>
    <t>Open new Account</t>
  </si>
  <si>
    <t>Accounts Overview &amp; Balance</t>
  </si>
  <si>
    <t>Fund Transfer</t>
  </si>
  <si>
    <t>ParaBank Mobile</t>
  </si>
  <si>
    <t>Date</t>
  </si>
  <si>
    <t>Theme / Focus Area</t>
  </si>
  <si>
    <t>Planned Cases</t>
  </si>
  <si>
    <t>Completed Cases</t>
  </si>
  <si>
    <t>Passed</t>
  </si>
  <si>
    <t>Failed</t>
  </si>
  <si>
    <t>Completion %</t>
  </si>
  <si>
    <t>Pass Rate %</t>
  </si>
  <si>
    <t>Hours Spent</t>
  </si>
  <si>
    <t>Flaky Tests Introduced</t>
  </si>
  <si>
    <t>Flaky Tests Fixed</t>
  </si>
  <si>
    <t>Defects Logged</t>
  </si>
  <si>
    <t>Key Risk / Assumption Flagged</t>
  </si>
  <si>
    <t>Blockers</t>
  </si>
  <si>
    <t>Tester Notes</t>
  </si>
  <si>
    <t>Framework setup &amp; smoke suite</t>
  </si>
  <si>
    <t/>
  </si>
  <si>
    <t>None for isolated-target acceptance.</t>
  </si>
  <si>
    <t>Grouped final headed acceptance results by planned scope day; original per-day dates and hours were not recorded.</t>
  </si>
  <si>
    <t>Registration &amp; authentication depth</t>
  </si>
  <si>
    <t>Blank phone registration is accepted by ParaBank.</t>
  </si>
  <si>
    <t>Grouped acceptance: one expected application-gap failure.</t>
  </si>
  <si>
    <t>Accounts &amp; balances</t>
  </si>
  <si>
    <t>ParaBank opens accounts from zero-balance sources.</t>
  </si>
  <si>
    <t>Pay Anyone / fund transfers</t>
  </si>
  <si>
    <t>ParaBank accepts invalid amounts and same-account transfers.</t>
  </si>
  <si>
    <t>Grouped acceptance: six expected application-gap failures.</t>
  </si>
  <si>
    <t>BPAY-style bill payments</t>
  </si>
  <si>
    <t>Negative and overdrawn bill payments mutate account balance.</t>
  </si>
  <si>
    <t>Grouped acceptance: two expected application-gap failures.</t>
  </si>
  <si>
    <t>Transaction search &amp; statement reconciliation</t>
  </si>
  <si>
    <t>Account activity is oldest-first, not newest-first.</t>
  </si>
  <si>
    <t>Lending journey</t>
  </si>
  <si>
    <t>All lending and flagship journey cases passed.</t>
  </si>
  <si>
    <t>REST/SOAP API layer</t>
  </si>
  <si>
    <t>Independent REST/SOAP suite: 22/22 passed.</t>
  </si>
  <si>
    <t>Cross-browser, mobile, accessibility &amp; PayID simulation</t>
  </si>
  <si>
    <t>Accessibility scans record violations; PayID paths are mocked.</t>
  </si>
  <si>
    <t>Headed Chromium, Firefox, and mobile each passed 15/15; Gherkin 4/4 scenarios, 29/29 steps.</t>
  </si>
  <si>
    <t>Current full-suite verification</t>
  </si>
  <si>
    <t>Current single-run verification showed 1 unexpected failure in bill payment negative amount handling.</t>
  </si>
  <si>
    <t>Latest run: 143 passed, 1 failed, 0 skipped, 0 flaky.</t>
  </si>
  <si>
    <t>TOTAL / ACCEPTANCE SUMMARY</t>
  </si>
  <si>
    <t>Hours were not tracked. Three full reruns: 399 pass, 33 expected application-gap failures, zero unexpected failures, skips or flakes.</t>
  </si>
  <si>
    <t>Test Case ID</t>
  </si>
  <si>
    <t>Scenario Description</t>
  </si>
  <si>
    <t>Day
Assigned</t>
  </si>
  <si>
    <t>Day
Completed</t>
  </si>
  <si>
    <t>Automation
Status</t>
  </si>
  <si>
    <t>Execution
Result</t>
  </si>
  <si>
    <t>Reusable
Component (Y/N)</t>
  </si>
  <si>
    <t>Defect
Raised (Y/N)</t>
  </si>
  <si>
    <t>Defect ID / Link</t>
  </si>
  <si>
    <t>TC-TRF-001</t>
  </si>
  <si>
    <t>Transfer full available balance between own accounts; verify source hits zero and ledger entries match on both sides.</t>
  </si>
  <si>
    <t>Example row — edit or delete before adding your own.</t>
  </si>
  <si>
    <t>TC-AUT-001</t>
  </si>
  <si>
    <t>Login page displays the username and password controls.</t>
  </si>
  <si>
    <t>Smoke</t>
  </si>
  <si>
    <t>Smoke tagged; Headed desktop acceptance 07/10/2026.</t>
  </si>
  <si>
    <t>TC-AUT-002</t>
  </si>
  <si>
    <t>API-seeded customer logs in and reaches account services.</t>
  </si>
  <si>
    <t>Smoke tagged; API-seeded; Headed desktop acceptance 07/10/2026.</t>
  </si>
  <si>
    <t>TC-AUT-003</t>
  </si>
  <si>
    <t>Reject login with an unknown username.</t>
  </si>
  <si>
    <t>TC-AUT-004</t>
  </si>
  <si>
    <t>Reject login with an incorrect password.</t>
  </si>
  <si>
    <t>TC-AUT-005</t>
  </si>
  <si>
    <t>Reject login with a blank username.</t>
  </si>
  <si>
    <t>TC-AUT-006</t>
  </si>
  <si>
    <t>Reject login with a blank password.</t>
  </si>
  <si>
    <t>TC-REG-001</t>
  </si>
  <si>
    <t>Registration form exposes all onboarding fields.</t>
  </si>
  <si>
    <t>TC-REG-002</t>
  </si>
  <si>
    <t>Register a new customer, confirm automatic sign-in, and verify the default account and balance.</t>
  </si>
  <si>
    <t>E2E</t>
  </si>
  <si>
    <t>Smoke tagged; API/UI parity; Headed desktop acceptance 07/10/2026.</t>
  </si>
  <si>
    <t>TC-REG-003</t>
  </si>
  <si>
    <t>Reject registration when first name is blank.</t>
  </si>
  <si>
    <t>Data-driven mandatory field; Headed desktop acceptance 07/10/2026.</t>
  </si>
  <si>
    <t>TC-REG-004</t>
  </si>
  <si>
    <t>Reject registration when last name is blank.</t>
  </si>
  <si>
    <t>TC-REG-005</t>
  </si>
  <si>
    <t>Reject registration when street address is blank.</t>
  </si>
  <si>
    <t>TC-REG-006</t>
  </si>
  <si>
    <t>Reject registration when city is blank.</t>
  </si>
  <si>
    <t>TC-REG-007</t>
  </si>
  <si>
    <t>Reject registration when state is blank.</t>
  </si>
  <si>
    <t>TC-REG-008</t>
  </si>
  <si>
    <t>Reject registration when ZIP/postcode is blank.</t>
  </si>
  <si>
    <t>TC-REG-009</t>
  </si>
  <si>
    <t>Reject registration when phone number is blank.</t>
  </si>
  <si>
    <t>Expected application gap: ParaBank accepts registration with a blank phone number. Reproduced in the isolated headed run; this is not an unexpected automation failure.</t>
  </si>
  <si>
    <t>TC-REG-010</t>
  </si>
  <si>
    <t>Reject registration when SSN is blank.</t>
  </si>
  <si>
    <t>TC-REG-011</t>
  </si>
  <si>
    <t>Reject registration when username is blank.</t>
  </si>
  <si>
    <t>TC-REG-012</t>
  </si>
  <si>
    <t>Reject registration when password is blank.</t>
  </si>
  <si>
    <t>TC-REG-013</t>
  </si>
  <si>
    <t>Reject a duplicate username.</t>
  </si>
  <si>
    <t>Uses API-seeded customer; Headed desktop acceptance 07/10/2026.</t>
  </si>
  <si>
    <t>TC-REG-014</t>
  </si>
  <si>
    <t>Reject mismatched password and confirmation values.</t>
  </si>
  <si>
    <t>; Headed desktop acceptance 07/10/2026.</t>
  </si>
  <si>
    <t>TC-REG-015</t>
  </si>
  <si>
    <t>Handle a 256-character first name without an application error.</t>
  </si>
  <si>
    <t>Security payload probes are opt-in on shared demo; Headed desktop acceptance 07/10/2026.</t>
  </si>
  <si>
    <t>TC-REG-016</t>
  </si>
  <si>
    <t>Handle special characters in first name without an application error.</t>
  </si>
  <si>
    <t>TC-REG-017</t>
  </si>
  <si>
    <t>Handle SQL-injection-shaped first-name input without an application error.</t>
  </si>
  <si>
    <t>TC-REG-018</t>
  </si>
  <si>
    <t>Handle XSS-shaped first-name input without script execution.</t>
  </si>
  <si>
    <t>TC-SES-001</t>
  </si>
  <si>
    <t>Session</t>
  </si>
  <si>
    <t>After logout, browser Back must not expose the authenticated overview.</t>
  </si>
  <si>
    <t>Checks authenticated content is hidden; Headed desktop acceptance 07/10/2026.</t>
  </si>
  <si>
    <t>TC-SES-002</t>
  </si>
  <si>
    <t>Direct navigation to overview after logout returns the user to login.</t>
  </si>
  <si>
    <t>Checks login view and absence of account data; Headed desktop acceptance 07/10/2026.</t>
  </si>
  <si>
    <t>TC-ACC-001</t>
  </si>
  <si>
    <t>Newly registered customer has a default account in the Accounts API.</t>
  </si>
  <si>
    <t>API</t>
  </si>
  <si>
    <t>API-seeded customer; Headed desktop acceptance 07/10/2026.</t>
  </si>
  <si>
    <t>TC-ACC-002</t>
  </si>
  <si>
    <t>Open a CHECKING account and verify its account ID and type through the API.</t>
  </si>
  <si>
    <t>Functional</t>
  </si>
  <si>
    <t>API-funded source account; Headed desktop acceptance 07/10/2026.</t>
  </si>
  <si>
    <t>TC-ACC-003</t>
  </si>
  <si>
    <t>Open a SAVINGS account and verify its account ID and type through the API.</t>
  </si>
  <si>
    <t>TC-ACC-004</t>
  </si>
  <si>
    <t>Reject account opening when the funding account has insufficient funds.</t>
  </si>
  <si>
    <t>Expected application gap: ParaBank opens an account from a zero-balance source. Reproduced in the isolated headed run; this is not an unexpected automation failure.</t>
  </si>
  <si>
    <t>TC-ACC-005</t>
  </si>
  <si>
    <t>Open five accounts sequentially and reconcile account inventory and total balance.</t>
  </si>
  <si>
    <t>Multi-step flagship journey; Headed desktop acceptance 07/10/2026.</t>
  </si>
  <si>
    <t>TC-ACC-006</t>
  </si>
  <si>
    <t>Verify Accounts Overview account ID and balance against the Accounts API.</t>
  </si>
  <si>
    <t>API/UI parity</t>
  </si>
  <si>
    <t>TC-ACC-007</t>
  </si>
  <si>
    <t>Verify one API-created account is listed in Accounts Overview.</t>
  </si>
  <si>
    <t>TC-ACC-008</t>
  </si>
  <si>
    <t>Verify two API-created accounts are listed in Accounts Overview.</t>
  </si>
  <si>
    <t>TC-ACC-009</t>
  </si>
  <si>
    <t>Verify three API-created accounts are listed in Accounts Overview.</t>
  </si>
  <si>
    <t>TC-ACC-010</t>
  </si>
  <si>
    <t>Verify four API-created accounts are listed in Accounts Overview.</t>
  </si>
  <si>
    <t>TC-ACC-011</t>
  </si>
  <si>
    <t>Verify five API-created accounts are listed in Accounts Overview.</t>
  </si>
  <si>
    <t>TC-ACC-012</t>
  </si>
  <si>
    <t>Create a CHECKING account through the API and verify the returned ID.</t>
  </si>
  <si>
    <t>TC-ACC-013</t>
  </si>
  <si>
    <t>Create a SAVINGS account through the API and verify the returned ID.</t>
  </si>
  <si>
    <t>TC-ACC-014</t>
  </si>
  <si>
    <t>Verify account balances are finite values with penny precision.</t>
  </si>
  <si>
    <t>Data validation</t>
  </si>
  <si>
    <t>TC-ACC-015</t>
  </si>
  <si>
    <t>Retrieve transaction history for a customer account through the API.</t>
  </si>
  <si>
    <t>Transfer between own accounts and reconcile source debit and destination credit.</t>
  </si>
  <si>
    <t>TC-TRF-002</t>
  </si>
  <si>
    <t>Transfer the full available source balance and verify it reaches zero.</t>
  </si>
  <si>
    <t>TC-TRF-003</t>
  </si>
  <si>
    <t>Reject a transfer amount greater than the available balance.</t>
  </si>
  <si>
    <t>Expected application gap: ParaBank reports a successful transfer above the available balance. Reproduced in the isolated headed run; this is not an unexpected automation failure.</t>
  </si>
  <si>
    <t>TC-TRF-004</t>
  </si>
  <si>
    <t>Reject a negative transfer amount.</t>
  </si>
  <si>
    <t>Expected application gap: ParaBank accepts a negative transfer amount. Reproduced in the isolated headed run; this is not an unexpected automation failure.</t>
  </si>
  <si>
    <t>TC-TRF-005</t>
  </si>
  <si>
    <t>Reject a zero transfer amount.</t>
  </si>
  <si>
    <t>Expected application gap: ParaBank accepts a zero transfer amount. Reproduced in the isolated headed run; this is not an unexpected automation failure.</t>
  </si>
  <si>
    <t>TC-TRF-006</t>
  </si>
  <si>
    <t>Reject a non-numeric transfer amount.</t>
  </si>
  <si>
    <t>Expected application gap: ParaBank reports a successful non-numeric transfer. Reproduced in the isolated headed run; this is not an unexpected automation failure.</t>
  </si>
  <si>
    <t>TC-TRF-007</t>
  </si>
  <si>
    <t>Reject a transfer amount with more than two decimal places.</t>
  </si>
  <si>
    <t>Expected application gap: ParaBank accepts transfer amounts with more than two decimal places. Reproduced in the isolated headed run; this is not an unexpected automation failure.</t>
  </si>
  <si>
    <t>TC-TRF-008</t>
  </si>
  <si>
    <t>Reject a transfer from an account to itself.</t>
  </si>
  <si>
    <t>Expected application gap: ParaBank reports a successful same-account transfer. Reproduced in the isolated headed run; this is not an unexpected automation failure.</t>
  </si>
  <si>
    <t>TC-TRF-009</t>
  </si>
  <si>
    <t>Perform ten rapid transfers and reconcile balances and debit/credit ledger counts.</t>
  </si>
  <si>
    <t>TC-TRF-010</t>
  </si>
  <si>
    <t>Accept a transfer of the minimum positive currency value, 0.01.</t>
  </si>
  <si>
    <t>TC-TRF-011</t>
  </si>
  <si>
    <t>Accept a whole-dollar transfer amount.</t>
  </si>
  <si>
    <t>TC-TRF-012</t>
  </si>
  <si>
    <t>Accept a transfer amount with one decimal place.</t>
  </si>
  <si>
    <t>TC-TRF-013</t>
  </si>
  <si>
    <t>Accept a transfer amount with two decimal places.</t>
  </si>
  <si>
    <t>TC-TRF-014</t>
  </si>
  <si>
    <t>Accept a 25.00 transfer when the source has sufficient funds.</t>
  </si>
  <si>
    <t>TC-TRF-015</t>
  </si>
  <si>
    <t>Transfer from a CHECKING account to a SAVINGS account.</t>
  </si>
  <si>
    <t>TC-TRF-016</t>
  </si>
  <si>
    <t>Transfer from a SAVINGS account to a CHECKING account.</t>
  </si>
  <si>
    <t>TC-TRF-017</t>
  </si>
  <si>
    <t>Transfer between two CHECKING accounts.</t>
  </si>
  <si>
    <t>TC-TRF-018</t>
  </si>
  <si>
    <t>API rejects a transfer to an unknown destination account.</t>
  </si>
  <si>
    <t>API negative</t>
  </si>
  <si>
    <t>TC-BPY-001</t>
  </si>
  <si>
    <t>Bill Pay</t>
  </si>
  <si>
    <t>Pay a biller and verify confirmation and matching source-account debit.</t>
  </si>
  <si>
    <t>TC-BPY-002</t>
  </si>
  <si>
    <t>Reject bill payment when payee name is blank.</t>
  </si>
  <si>
    <t>TC-BPY-003</t>
  </si>
  <si>
    <t>Reject bill payment when payee street address is blank.</t>
  </si>
  <si>
    <t>TC-BPY-004</t>
  </si>
  <si>
    <t>Reject bill payment when payee city is blank.</t>
  </si>
  <si>
    <t>TC-BPY-005</t>
  </si>
  <si>
    <t>Reject bill payment when payee state is blank.</t>
  </si>
  <si>
    <t>TC-BPY-006</t>
  </si>
  <si>
    <t>Reject bill payment when payee ZIP/postcode is blank.</t>
  </si>
  <si>
    <t>TC-BPY-007</t>
  </si>
  <si>
    <t>Reject bill payment when payee phone number is blank.</t>
  </si>
  <si>
    <t>TC-BPY-008</t>
  </si>
  <si>
    <t>Reject bill payment when payee account number is blank.</t>
  </si>
  <si>
    <t>TC-BPY-009</t>
  </si>
  <si>
    <t>Reject bill payment when account-number confirmation is blank.</t>
  </si>
  <si>
    <t>TC-BPY-010</t>
  </si>
  <si>
    <t>Reject bill payment when amount is blank.</t>
  </si>
  <si>
    <t>TC-BPY-011</t>
  </si>
  <si>
    <t>Reject bill payment when account and verification account numbers do not match.</t>
  </si>
  <si>
    <t>TC-BPY-012</t>
  </si>
  <si>
    <t>Accept bill payment for the minimum positive amount, 0.01.</t>
  </si>
  <si>
    <t>TC-BPY-013</t>
  </si>
  <si>
    <t>Reject a zero-amount bill payment.</t>
  </si>
  <si>
    <t>TC-BPY-014</t>
  </si>
  <si>
    <t>Reject a bill payment with a blank amount.</t>
  </si>
  <si>
    <t>TC-BPY-015</t>
  </si>
  <si>
    <t>Reject a negative bill payment amount.</t>
  </si>
  <si>
    <t>Expected application gap: ParaBank accepts negative bill payments and mutates the balance. Reproduced in the isolated headed run; this is not an unexpected automation failure.</t>
  </si>
  <si>
    <t>TC-BPY-016</t>
  </si>
  <si>
    <t>Reject bill payment exceeding the available balance.</t>
  </si>
  <si>
    <t>Expected application gap: ParaBank permits bill payments that overdraw the source account. Reproduced in the isolated headed run; this is not an unexpected automation failure.</t>
  </si>
  <si>
    <t>TC-BPY-017</t>
  </si>
  <si>
    <t>Pay the same biller twice and verify two separate debits.</t>
  </si>
  <si>
    <t>TC-BPY-018</t>
  </si>
  <si>
    <t>Pay ten billers from JSON data and reconcile total debits and transactions.</t>
  </si>
  <si>
    <t>TC-TXN-001</t>
  </si>
  <si>
    <t>Transactions</t>
  </si>
  <si>
    <t>Find a transaction by transaction ID.</t>
  </si>
  <si>
    <t>TC-TXN-002</t>
  </si>
  <si>
    <t>Find transactions by transaction date.</t>
  </si>
  <si>
    <t>TC-TXN-003</t>
  </si>
  <si>
    <t>Find transactions within an inclusive date range.</t>
  </si>
  <si>
    <t>TC-TXN-004</t>
  </si>
  <si>
    <t>Find a transaction by exact amount.</t>
  </si>
  <si>
    <t>TC-TXN-005</t>
  </si>
  <si>
    <t>Handle a date range whose start and end dates are equal.</t>
  </si>
  <si>
    <t>TC-TXN-006</t>
  </si>
  <si>
    <t>Handle a date range whose end date is earlier than its start date.</t>
  </si>
  <si>
    <t>TC-TXN-007</t>
  </si>
  <si>
    <t>Handle an invalid date format in a date-range search.</t>
  </si>
  <si>
    <t>TC-TXN-008</t>
  </si>
  <si>
    <t>Handle a future date in a date-range search.</t>
  </si>
  <si>
    <t>TC-TXN-009</t>
  </si>
  <si>
    <t>Show an empty state when amount search has no matching transaction.</t>
  </si>
  <si>
    <t>TC-TXN-010</t>
  </si>
  <si>
    <t>Seed 55 transactions and find the newest transaction through UI search.</t>
  </si>
  <si>
    <t>Volume</t>
  </si>
  <si>
    <t>API-only high-volume setup; Headed desktop acceptance 07/10/2026.</t>
  </si>
  <si>
    <t>TC-TXN-011</t>
  </si>
  <si>
    <t>Show the seeded transaction volume in account activity without losing rows.</t>
  </si>
  <si>
    <t>TC-TXN-012</t>
  </si>
  <si>
    <t>List the newest seeded transaction first in high-volume account activity.</t>
  </si>
  <si>
    <t>Expected application gap: ParaBank account activity is ordered oldest-first, not newest-first. Reproduced in the isolated headed run; this is not an unexpected automation failure.</t>
  </si>
  <si>
    <t>TC-TXN-013</t>
  </si>
  <si>
    <t>Reconcile account activity against the API for funded account 1.</t>
  </si>
  <si>
    <t>Reconciliation</t>
  </si>
  <si>
    <t>TC-TXN-014</t>
  </si>
  <si>
    <t>Reconcile account activity against the API for funded account 2.</t>
  </si>
  <si>
    <t>TC-TXN-015</t>
  </si>
  <si>
    <t>Reconcile account activity against the API for funded account 3.</t>
  </si>
  <si>
    <t>TC-LND-001</t>
  </si>
  <si>
    <t>Approve a valid loan and show the new loan account in overview.</t>
  </si>
  <si>
    <t>TC-LND-002</t>
  </si>
  <si>
    <t>Deny a loan when down payment exceeds available source funds.</t>
  </si>
  <si>
    <t>TC-LND-003</t>
  </si>
  <si>
    <t>Handle a loan application with zero loan amount.</t>
  </si>
  <si>
    <t>TC-LND-004</t>
  </si>
  <si>
    <t>Handle a loan application with negative loan amount.</t>
  </si>
  <si>
    <t>TC-LND-005</t>
  </si>
  <si>
    <t>Handle a loan application with blank down payment.</t>
  </si>
  <si>
    <t>TC-LND-006</t>
  </si>
  <si>
    <t>Handle a loan application with non-numeric down payment.</t>
  </si>
  <si>
    <t>TC-LND-007</t>
  </si>
  <si>
    <t>Handle a down payment equal to the loan amount.</t>
  </si>
  <si>
    <t>TC-LND-008</t>
  </si>
  <si>
    <t>Check loan approval-matrix combination 1.</t>
  </si>
  <si>
    <t>Decision matrix</t>
  </si>
  <si>
    <t>TC-LND-009</t>
  </si>
  <si>
    <t>Check loan approval-matrix combination 2.</t>
  </si>
  <si>
    <t>TC-LND-010</t>
  </si>
  <si>
    <t>Check loan approval-matrix combination 3.</t>
  </si>
  <si>
    <t>TC-LND-011</t>
  </si>
  <si>
    <t>Check loan approval-matrix combination 4.</t>
  </si>
  <si>
    <t>TC-LND-012</t>
  </si>
  <si>
    <t>Check loan approval-matrix combination 5.</t>
  </si>
  <si>
    <t>TC-LND-013</t>
  </si>
  <si>
    <t>Transfer funds out of an approved loan account.</t>
  </si>
  <si>
    <t>TC-LND-014</t>
  </si>
  <si>
    <t>Show the approved loan account in Accounts Overview.</t>
  </si>
  <si>
    <t>TC-LND-015</t>
  </si>
  <si>
    <t>Register, fund savings, obtain an approved loan, pay a bill, and reconcile the complete ledger.</t>
  </si>
  <si>
    <t>Flagship journey; Headed desktop acceptance 07/10/2026.</t>
  </si>
  <si>
    <t>TC-API-001</t>
  </si>
  <si>
    <t>Create and retrieve a customer through the REST customer resource.</t>
  </si>
  <si>
    <t>API-only; Headed desktop acceptance 07/10/2026.</t>
  </si>
  <si>
    <t>TC-API-002</t>
  </si>
  <si>
    <t>Retrieve the registered customer's seed-account collection.</t>
  </si>
  <si>
    <t>TC-API-003</t>
  </si>
  <si>
    <t>Open a checking account through the REST API.</t>
  </si>
  <si>
    <t>TC-API-004</t>
  </si>
  <si>
    <t>Open a savings account through the REST API.</t>
  </si>
  <si>
    <t>TC-API-005</t>
  </si>
  <si>
    <t>Retrieve account details through the REST API.</t>
  </si>
  <si>
    <t>TC-API-006</t>
  </si>
  <si>
    <t>Deposit funds and find the resulting transaction.</t>
  </si>
  <si>
    <t>TC-API-007</t>
  </si>
  <si>
    <t>Retrieve transaction identifiers and amounts.</t>
  </si>
  <si>
    <t>TC-API-008</t>
  </si>
  <si>
    <t>Transfer funds and verify source debit and destination credit.</t>
  </si>
  <si>
    <t>TC-API-009</t>
  </si>
  <si>
    <t>Pay a bill and verify the debit and recorded transaction.</t>
  </si>
  <si>
    <t>TC-API-010</t>
  </si>
  <si>
    <t>Return no customer record for an unknown customer ID.</t>
  </si>
  <si>
    <t>TC-API-011</t>
  </si>
  <si>
    <t>Return no account record for an unknown account ID.</t>
  </si>
  <si>
    <t>TC-API-012</t>
  </si>
  <si>
    <t>Return no transaction record for an unknown account ID.</t>
  </si>
  <si>
    <t>TC-API-013</t>
  </si>
  <si>
    <t>Reject a transfer with missing required parameters.</t>
  </si>
  <si>
    <t>TC-API-014</t>
  </si>
  <si>
    <t>Reject a bill payment with missing required parameters.</t>
  </si>
  <si>
    <t>TC-API-015</t>
  </si>
  <si>
    <t>Reject JSON transfer content without mutating either account balance.</t>
  </si>
  <si>
    <t>TC-API-016</t>
  </si>
  <si>
    <t>Validate required customer fields in the REST XML response.</t>
  </si>
  <si>
    <t>Contract</t>
  </si>
  <si>
    <t>TC-API-017</t>
  </si>
  <si>
    <t>Validate account fields and balance in the REST XML response.</t>
  </si>
  <si>
    <t>TC-API-018</t>
  </si>
  <si>
    <t>Validate transaction fields in the REST XML response.</t>
  </si>
  <si>
    <t>TC-API-019</t>
  </si>
  <si>
    <t>Match SOAP customer lookup with the REST customer record.</t>
  </si>
  <si>
    <t>Parity</t>
  </si>
  <si>
    <t>TC-API-020</t>
  </si>
  <si>
    <t>Match SOAP account lookup with the REST account record.</t>
  </si>
  <si>
    <t>TC-API-021</t>
  </si>
  <si>
    <t>Verify SOAP transaction lookup returns REST transaction identifiers.</t>
  </si>
  <si>
    <t>TC-API-022</t>
  </si>
  <si>
    <t>Create customer, account, transfer, bill payment, and reconcile ledger using only APIs.</t>
  </si>
  <si>
    <t>API-only flagship; Headed desktop acceptance 07/10/2026.</t>
  </si>
  <si>
    <t>TC-CHN-001</t>
  </si>
  <si>
    <t>Channels</t>
  </si>
  <si>
    <t>Log in successfully in Chromium.</t>
  </si>
  <si>
    <t>Cross-browser</t>
  </si>
  <si>
    <t>TC-CHN-002</t>
  </si>
  <si>
    <t>Display Accounts Overview in Chromium.</t>
  </si>
  <si>
    <t>TC-CHN-003</t>
  </si>
  <si>
    <t>Transfer between own accounts in Chromium.</t>
  </si>
  <si>
    <t>TC-CHN-004</t>
  </si>
  <si>
    <t>Pay a bill in Chromium.</t>
  </si>
  <si>
    <t>TC-CHN-005</t>
  </si>
  <si>
    <t>Hide authenticated account links after logout in Chromium.</t>
  </si>
  <si>
    <t>TC-CHN-006</t>
  </si>
  <si>
    <t>Keep keyboard focus in the expected order on the login form.</t>
  </si>
  <si>
    <t>TC-CHN-007</t>
  </si>
  <si>
    <t>Keep login form controls inside a 390×844 mobile viewport.</t>
  </si>
  <si>
    <t>Responsive</t>
  </si>
  <si>
    <t>TC-CHN-008</t>
  </si>
  <si>
    <t>Expose account and balance headings in the overview table.</t>
  </si>
  <si>
    <t>TC-CHN-009</t>
  </si>
  <si>
    <t>Show every required payee field in the bill-pay form.</t>
  </si>
  <si>
    <t>TC-CHN-010</t>
  </si>
  <si>
    <t>Scan login page and attach axe violations for reporting.</t>
  </si>
  <si>
    <t>Violations are attached and summarized; accessibility findings are reported, not asserted away.; Headed desktop acceptance 07/10/2026. Axe violations attached and annotated; findings are reported rather than asserted away.</t>
  </si>
  <si>
    <t>TC-CHN-011</t>
  </si>
  <si>
    <t>Scan overview page and attach axe violations for reporting.</t>
  </si>
  <si>
    <t>TC-CHN-012</t>
  </si>
  <si>
    <t>Scan transfer page and attach axe violations for reporting.</t>
  </si>
  <si>
    <t>TC-CHN-013</t>
  </si>
  <si>
    <t>PayID Simulation</t>
  </si>
  <si>
    <t>Handle a mocked settled PayID/NPP payment response.</t>
  </si>
  <si>
    <t>Integration</t>
  </si>
  <si>
    <t>Mock simulation; no native ParaBank PayID; Headed desktop acceptance 07/10/2026.</t>
  </si>
  <si>
    <t>TC-CHN-014</t>
  </si>
  <si>
    <t>Handle a mocked failed PayID/NPP payment response.</t>
  </si>
  <si>
    <t>TC-CHN-015</t>
  </si>
  <si>
    <t>Handle a mocked timeout PayID/NPP payment response.</t>
  </si>
  <si>
    <t>Productivity</t>
  </si>
  <si>
    <t>Share</t>
  </si>
  <si>
    <t>Auto-calculated from Daily Log and Test Case Tracker — no manual entry on this sheet.</t>
  </si>
  <si>
    <t>Overall Volume</t>
  </si>
  <si>
    <t>Total test cases logged</t>
  </si>
  <si>
    <t>Pass rate (Pass ÷ (Pass + Fail))</t>
  </si>
  <si>
    <t>Flakiness rate (Flaky ÷ Automated)</t>
  </si>
  <si>
    <t>Quality</t>
  </si>
  <si>
    <t>By Priority</t>
  </si>
  <si>
    <t>By Complexity</t>
  </si>
  <si>
    <t>Complexity-weighted volume (L×1 + M×2 + H×3)</t>
  </si>
  <si>
    <t>Velocity &amp; Reliability</t>
  </si>
  <si>
    <t>Average cases completed / day</t>
  </si>
  <si>
    <t>Total hours spent</t>
  </si>
  <si>
    <t>Cases per hour</t>
  </si>
  <si>
    <t>Total flaky tests introduced</t>
  </si>
  <si>
    <t>Total flaky tests fixed</t>
  </si>
  <si>
    <t>Flaky tests remaining open</t>
  </si>
  <si>
    <t>Total defects logged</t>
  </si>
  <si>
    <t>Design &amp; Reuse</t>
  </si>
  <si>
    <t>Test cases using a reusable component</t>
  </si>
  <si>
    <t>Reuse rate (of Automated cases)</t>
  </si>
  <si>
    <t>Individual Productivity Scorecard</t>
  </si>
  <si>
    <t>Evaluator fills the Rating column (1–5) at the end of Day 10. Everything else calculates.</t>
  </si>
  <si>
    <t>Criterion</t>
  </si>
  <si>
    <t>Weight</t>
  </si>
  <si>
    <t>Rating (1-5)</t>
  </si>
  <si>
    <t>Weighted Score</t>
  </si>
  <si>
    <t>Comments</t>
  </si>
  <si>
    <t>Velocity (cases completed vs. plan, complexity-adjusted)</t>
  </si>
  <si>
    <t>Quality / first-run pass rate</t>
  </si>
  <si>
    <t>Design &amp; reuse (POM, data-driven, shared utilities)</t>
  </si>
  <si>
    <t>Flakiness discipline (introduced vs. fixed by Day 10)</t>
  </si>
  <si>
    <t>Complex end-to-end capability (chained flagship scenarios)</t>
  </si>
  <si>
    <t>Communication (daily logs, final report clarity)</t>
  </si>
  <si>
    <t>TOTAL</t>
  </si>
  <si>
    <t>Score out of 5</t>
  </si>
  <si>
    <t>Overall Band</t>
  </si>
  <si>
    <t>Calibration: Strong ≥ 4.00  |  Developing 2.50–3.99  |  Needs Support &lt; 2.50</t>
  </si>
  <si>
    <t>Application</t>
  </si>
  <si>
    <t>Automation Suite</t>
  </si>
  <si>
    <t>Platform / Profile</t>
  </si>
  <si>
    <t>Completed</t>
  </si>
  <si>
    <t>Skipped / Blocked</t>
  </si>
  <si>
    <t>Run Status</t>
  </si>
  <si>
    <t>Run Date</t>
  </si>
  <si>
    <t>Observed Result / Notes</t>
  </si>
  <si>
    <t>ParaBank</t>
  </si>
  <si>
    <t>Playwright (single worker)</t>
  </si>
  <si>
    <t>Desktop Chromium</t>
  </si>
  <si>
    <t>Completed with failures/skips</t>
  </si>
  <si>
    <t>28/09/2026</t>
  </si>
  <si>
    <t>Full run summary: 60 passed, 13 failed, 4 skipped. Public target had validation/server inconsistencies.</t>
  </si>
  <si>
    <t>Playwright headed parallel</t>
  </si>
  <si>
    <t>Blocked before execution</t>
  </si>
  <si>
    <t>Preflight stopped the run because the shared public demo returned Cloudflare 1015; no cases executed.</t>
  </si>
  <si>
    <t>ACME Demo</t>
  </si>
  <si>
    <t>Playwright web suite (headed)</t>
  </si>
  <si>
    <t>All four functional, accessibility, API and visual tests passed.</t>
  </si>
  <si>
    <t>Playwright iPhone 13 emulation</t>
  </si>
  <si>
    <t>Playwright Pixel 5 emulation</t>
  </si>
  <si>
    <t>Completed with one failure</t>
  </si>
  <si>
    <t>Functional, accessibility and API tests passed; dashboard visual snapshot failed.</t>
  </si>
  <si>
    <t>Playwright Galaxy S9+ emulation</t>
  </si>
  <si>
    <t>Playwright iPhone 12 emulation</t>
  </si>
  <si>
    <t>Playwright Pixel 7 emulation</t>
  </si>
  <si>
    <t>Playwright web suite total</t>
  </si>
  <si>
    <t>Six projects / viewport profiles</t>
  </si>
  <si>
    <t>Latest headed run: 23 passed, 1 failed.</t>
  </si>
  <si>
    <t>WebdriverIO + Appium</t>
  </si>
  <si>
    <t>Android Chrome ? Pixel_10_Pro_Fold (emulator-5554)</t>
  </si>
  <si>
    <t>Session creation failed; configured Android device was not connected/visible to Appium.</t>
  </si>
  <si>
    <t>Android Chrome ? Pixel_10_Pro (emulator-5556)</t>
  </si>
  <si>
    <t>Android Chrome ? Pixel_6 (emulator-5558)</t>
  </si>
  <si>
    <t>WebdriverIO + Appium total</t>
  </si>
  <si>
    <t>Three configured Android emulators</t>
  </si>
  <si>
    <t>No test reached the application; all device sessions were blocked by device availability.</t>
  </si>
  <si>
    <t>Cucumber mobile BDD</t>
  </si>
  <si>
    <t>Mobile BDD command was not reached in the recorded run.</t>
  </si>
  <si>
    <t>Cucumber mobile BDD total</t>
  </si>
  <si>
    <t>No mobile BDD result is claimed.</t>
  </si>
  <si>
    <t>ParaBank Android/platform matrix</t>
  </si>
  <si>
    <t>Mobile viewport / Android matrix</t>
  </si>
  <si>
    <t>Matrix runner is configured but was not executed in this session.</t>
  </si>
  <si>
    <t>Playwright (single worker rerun)</t>
  </si>
  <si>
    <t>Completed with rate-limit errors</t>
  </si>
  <si>
    <t>Later serial rerun summary: 27 passed, 46 failed, 4 skipped; shared public demo responses included HTTP 429/Cloudflare 1015. Treat these results as environment-limited.</t>
  </si>
  <si>
    <t>Playwright headed full acceptance</t>
  </si>
  <si>
    <t>Completed; expected product gaps</t>
  </si>
  <si>
    <t>07/10/2026</t>
  </si>
  <si>
    <t>Isolated target. 11 known application validation/ordering gaps; zero unexpected automation failures.</t>
  </si>
  <si>
    <t>Day 9 cross-channel suite</t>
  </si>
  <si>
    <t>Headed Chromium</t>
  </si>
  <si>
    <t>All 15 channel, responsive, accessibility-reporting and mocked PayID cases passed.</t>
  </si>
  <si>
    <t>Headed Firefox</t>
  </si>
  <si>
    <t>15/15 passed in isolated headed Firefox run.</t>
  </si>
  <si>
    <t>Headed mobile viewport 390x844</t>
  </si>
  <si>
    <t>15/15 passed.</t>
  </si>
  <si>
    <t>REST/SOAP API suite</t>
  </si>
  <si>
    <t>API only (no browser)</t>
  </si>
  <si>
    <t>22/22 passed; REST, SOAP parity and API E2E.</t>
  </si>
  <si>
    <t>Gherkin feature</t>
  </si>
  <si>
    <t>4 scenarios and 29 steps passed.</t>
  </si>
  <si>
    <t>Day 10 three-run stability</t>
  </si>
  <si>
    <t>Passed; zero flaky</t>
  </si>
  <si>
    <t>Three x 144 tests. 33 expected application gaps; zero unexpected, skipped or flaky.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</si>
</sst>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0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i/>
      <sz val="11"/>
      <color rgb="FF595959"/>
      <name val="Calibri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Calibri"/>
    </font>
    <font>
      <sz val="10"/>
      <color rgb="FF0000FF"/>
      <name val="Arial"/>
      <charset val="1"/>
    </font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i/>
      <sz val="9"/>
      <color rgb="FF1F4E78"/>
      <name val="Arial"/>
      <family val="2"/>
    </font>
    <font>
      <b/>
      <sz val="11"/>
      <color rgb="FF0000FF"/>
      <name val="Calibri"/>
    </font>
    <font>
      <b/>
      <sz val="18"/>
      <color rgb="FFFFFFFF"/>
      <name val="Aptos Display"/>
    </font>
    <font>
      <i/>
      <sz val="10"/>
      <color rgb="FF385D8A"/>
      <name val="Calibri"/>
    </font>
    <font>
      <b/>
      <sz val="11"/>
      <color rgb="FF1F1F1F"/>
      <name val="Calibri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</patternFill>
    </fill>
    <fill>
      <patternFill patternType="solid">
        <fgColor rgb="FF1F3864"/>
        <bgColor rgb="FF1F4E78"/>
      </patternFill>
    </fill>
    <fill>
      <patternFill patternType="solid">
        <fgColor rgb="FFF3F7FC"/>
      </patternFill>
    </fill>
    <fill>
      <patternFill patternType="solid">
        <fgColor rgb="FFD9EAF7"/>
      </patternFill>
    </fill>
    <fill>
      <patternFill patternType="solid">
        <fgColor rgb="FF1F3864"/>
      </patternFill>
    </fill>
    <fill>
      <patternFill patternType="solid">
        <fgColor rgb="FFF4F8FC"/>
      </patternFill>
    </fill>
    <fill>
      <patternFill patternType="solid">
        <fgColor rgb="FFFFF7D6"/>
      </patternFill>
    </fill>
    <fill>
      <patternFill patternType="solid">
        <fgColor rgb="FFF2F2F2"/>
      </patternFill>
    </fill>
    <fill>
      <patternFill patternType="solid">
        <fgColor rgb="FFF2F2F2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 applyAlignment="1">
      <alignment vertical="top" wrapText="1"/>
    </xf>
    <xf numFmtId="0" fontId="4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 applyAlignment="1">
      <alignment vertical="top" wrapText="1"/>
    </xf>
    <xf numFmtId="0" fontId="7" fillId="4" borderId="0" xfId="0" applyFont="1" applyFill="1" applyAlignment="1">
      <alignment vertical="center" wrapText="1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11" fillId="4" borderId="0" xfId="0" applyFont="1" applyFill="1" applyAlignment="1">
      <alignment horizontal="center" vertical="center" wrapText="1"/>
    </xf>
    <xf numFmtId="0" fontId="0" fillId="9" borderId="0" xfId="0" applyFill="1"/>
    <xf numFmtId="3" fontId="0" fillId="10" borderId="0" xfId="0" applyNumberFormat="1" applyFill="1" applyAlignment="1">
      <alignment horizontal="right"/>
    </xf>
    <xf numFmtId="9" fontId="0" fillId="10" borderId="0" xfId="0" applyNumberFormat="1" applyFill="1" applyAlignment="1">
      <alignment horizontal="right"/>
    </xf>
    <xf numFmtId="165" fontId="0" fillId="10" borderId="0" xfId="0" applyNumberFormat="1" applyFill="1" applyAlignment="1">
      <alignment horizontal="right"/>
    </xf>
    <xf numFmtId="0" fontId="15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7" fillId="11" borderId="1" xfId="0" applyFont="1" applyFill="1" applyBorder="1" applyAlignment="1">
      <alignment vertical="top" wrapText="1"/>
    </xf>
    <xf numFmtId="9" fontId="17" fillId="11" borderId="1" xfId="0" applyNumberFormat="1" applyFont="1" applyFill="1" applyBorder="1" applyAlignment="1">
      <alignment vertical="center" wrapText="1"/>
    </xf>
    <xf numFmtId="2" fontId="3" fillId="12" borderId="1" xfId="0" applyNumberFormat="1" applyFont="1" applyFill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19" fillId="4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vertical="center" wrapText="1"/>
    </xf>
    <xf numFmtId="0" fontId="17" fillId="11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vertical="center"/>
    </xf>
    <xf numFmtId="0" fontId="13" fillId="0" borderId="0" xfId="0" applyFont="1"/>
    <xf numFmtId="0" fontId="14" fillId="7" borderId="0" xfId="0" applyFont="1" applyFill="1" applyAlignment="1">
      <alignment vertical="center"/>
    </xf>
  </cellXfs>
  <cellStyles count="1">
    <cellStyle name="Normal" xfId="0" builtinId="0"/>
  </cellStyles>
  <dxfs count="6"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Productivity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'Productivity Dashboard'!$N$1</c:f>
              <c:strCache>
                <c:ptCount val="1"/>
                <c:pt idx="0">
                  <c:v>Share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'Productivity Dashboard'!$M$2:$M$6</c:f>
              <c:strCache>
                <c:ptCount val="5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Run</c:v>
                </c:pt>
                <c:pt idx="4">
                  <c:v>Flaky</c:v>
                </c:pt>
              </c:strCache>
            </c:strRef>
          </c:cat>
          <c:val>
            <c:numRef>
              <c:f>'Productivity Dashboard'!$N$2:$N$6</c:f>
              <c:numCache>
                <c:formatCode>General</c:formatCode>
                <c:ptCount val="5"/>
                <c:pt idx="0">
                  <c:v>133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4-4020-8764-327FCB4EEA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'Productivity Dashboard'!$B$1:$B$4</c:f>
              <c:strCache>
                <c:ptCount val="4"/>
                <c:pt idx="0">
                  <c:v>Productivity Dashboard</c:v>
                </c:pt>
                <c:pt idx="1">
                  <c:v>Auto-calculated from Daily Log and Test Case Tracker — no manual entry on this sheet.</c:v>
                </c:pt>
                <c:pt idx="3">
                  <c:v>Overall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'Productivity Dashboard'!$A$5:$A$43</c:f>
              <c:strCache>
                <c:ptCount val="39"/>
                <c:pt idx="0">
                  <c:v>Total test cases logged</c:v>
                </c:pt>
                <c:pt idx="1">
                  <c:v>Automated</c:v>
                </c:pt>
                <c:pt idx="2">
                  <c:v>In Progress</c:v>
                </c:pt>
                <c:pt idx="3">
                  <c:v>Blocked</c:v>
                </c:pt>
                <c:pt idx="4">
                  <c:v>Pass rate (Pass ÷ (Pass + Fail))</c:v>
                </c:pt>
                <c:pt idx="5">
                  <c:v>Flakiness rate (Flaky ÷ Automated)</c:v>
                </c:pt>
                <c:pt idx="7">
                  <c:v>Quality</c:v>
                </c:pt>
                <c:pt idx="8">
                  <c:v>Pass</c:v>
                </c:pt>
                <c:pt idx="9">
                  <c:v>Fail</c:v>
                </c:pt>
                <c:pt idx="10">
                  <c:v>Flaky</c:v>
                </c:pt>
                <c:pt idx="11">
                  <c:v>Not Run</c:v>
                </c:pt>
                <c:pt idx="12">
                  <c:v>Pass rate (Pass ÷ (Pass + Fail))</c:v>
                </c:pt>
                <c:pt idx="13">
                  <c:v>Flakiness rate (Flaky ÷ Automated)</c:v>
                </c:pt>
                <c:pt idx="15">
                  <c:v>By Priority</c:v>
                </c:pt>
                <c:pt idx="16">
                  <c:v>Critical</c:v>
                </c:pt>
                <c:pt idx="17">
                  <c:v>High</c:v>
                </c:pt>
                <c:pt idx="18">
                  <c:v>Medium</c:v>
                </c:pt>
                <c:pt idx="19">
                  <c:v>Low</c:v>
                </c:pt>
                <c:pt idx="21">
                  <c:v>By Complexity</c:v>
                </c:pt>
                <c:pt idx="22">
                  <c:v>Low</c:v>
                </c:pt>
                <c:pt idx="23">
                  <c:v>Medium</c:v>
                </c:pt>
                <c:pt idx="24">
                  <c:v>High</c:v>
                </c:pt>
                <c:pt idx="25">
                  <c:v>Complexity-weighted volume (L×1 + M×2 + H×3)</c:v>
                </c:pt>
                <c:pt idx="27">
                  <c:v>Velocity &amp; Reliability</c:v>
                </c:pt>
                <c:pt idx="28">
                  <c:v>Average cases completed / day</c:v>
                </c:pt>
                <c:pt idx="29">
                  <c:v>Total hours spent</c:v>
                </c:pt>
                <c:pt idx="30">
                  <c:v>Cases per hour</c:v>
                </c:pt>
                <c:pt idx="31">
                  <c:v>Total flaky tests introduced</c:v>
                </c:pt>
                <c:pt idx="32">
                  <c:v>Total flaky tests fixed</c:v>
                </c:pt>
                <c:pt idx="33">
                  <c:v>Flaky tests remaining open</c:v>
                </c:pt>
                <c:pt idx="34">
                  <c:v>Total defects logged</c:v>
                </c:pt>
                <c:pt idx="36">
                  <c:v>Design &amp; Reuse</c:v>
                </c:pt>
                <c:pt idx="37">
                  <c:v>Test cases using a reusable component</c:v>
                </c:pt>
                <c:pt idx="38">
                  <c:v>Reuse rate (of Automated cases)</c:v>
                </c:pt>
              </c:strCache>
            </c:strRef>
          </c:cat>
          <c:val>
            <c:numRef>
              <c:f>'Productivity Dashboard'!$B$5:$B$43</c:f>
              <c:numCache>
                <c:formatCode>#,##0</c:formatCode>
                <c:ptCount val="39"/>
                <c:pt idx="0">
                  <c:v>144</c:v>
                </c:pt>
                <c:pt idx="1">
                  <c:v>144</c:v>
                </c:pt>
                <c:pt idx="2">
                  <c:v>0</c:v>
                </c:pt>
                <c:pt idx="3">
                  <c:v>0</c:v>
                </c:pt>
                <c:pt idx="4" formatCode="0%">
                  <c:v>0.92361111111111116</c:v>
                </c:pt>
                <c:pt idx="5" formatCode="0%">
                  <c:v>0</c:v>
                </c:pt>
                <c:pt idx="8">
                  <c:v>133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 formatCode="0%">
                  <c:v>0.92361111111111116</c:v>
                </c:pt>
                <c:pt idx="13" formatCode="0%">
                  <c:v>0</c:v>
                </c:pt>
                <c:pt idx="16">
                  <c:v>0</c:v>
                </c:pt>
                <c:pt idx="17">
                  <c:v>115</c:v>
                </c:pt>
                <c:pt idx="18">
                  <c:v>29</c:v>
                </c:pt>
                <c:pt idx="19">
                  <c:v>0</c:v>
                </c:pt>
                <c:pt idx="22">
                  <c:v>71</c:v>
                </c:pt>
                <c:pt idx="23">
                  <c:v>64</c:v>
                </c:pt>
                <c:pt idx="24">
                  <c:v>9</c:v>
                </c:pt>
                <c:pt idx="25">
                  <c:v>226</c:v>
                </c:pt>
                <c:pt idx="28" formatCode="0.0">
                  <c:v>16</c:v>
                </c:pt>
                <c:pt idx="29" formatCode="0.0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7">
                  <c:v>144</c:v>
                </c:pt>
                <c:pt idx="38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7-43B6-8975-23BE31339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9179759"/>
        <c:axId val="1516976463"/>
      </c:barChart>
      <c:catAx>
        <c:axId val="15191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976463"/>
        <c:crosses val="autoZero"/>
        <c:auto val="1"/>
        <c:lblAlgn val="ctr"/>
        <c:lblOffset val="100"/>
        <c:noMultiLvlLbl val="0"/>
      </c:catAx>
      <c:valAx>
        <c:axId val="15169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7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667500" cy="42862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184546</xdr:colOff>
      <xdr:row>30</xdr:row>
      <xdr:rowOff>158353</xdr:rowOff>
    </xdr:from>
    <xdr:to>
      <xdr:col>14</xdr:col>
      <xdr:colOff>535781</xdr:colOff>
      <xdr:row>50</xdr:row>
      <xdr:rowOff>345281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364668-9584-B32A-5422-62DE4D2A0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zoomScaleNormal="100" workbookViewId="0"/>
  </sheetViews>
  <sheetFormatPr defaultColWidth="8.7109375" defaultRowHeight="14.45" customHeight="1" x14ac:dyDescent="0.25"/>
  <cols>
    <col min="1" max="1" width="4" customWidth="1"/>
    <col min="2" max="2" width="32" customWidth="1"/>
    <col min="3" max="3" width="90" customWidth="1"/>
  </cols>
  <sheetData>
    <row r="2" spans="2:3" ht="21" customHeight="1" x14ac:dyDescent="0.25">
      <c r="B2" s="1" t="s">
        <v>0</v>
      </c>
    </row>
    <row r="3" spans="2:3" ht="15" customHeight="1" x14ac:dyDescent="0.25">
      <c r="B3" s="2" t="s">
        <v>1</v>
      </c>
    </row>
    <row r="5" spans="2:3" ht="15" customHeight="1" x14ac:dyDescent="0.25">
      <c r="B5" s="3" t="s">
        <v>2</v>
      </c>
    </row>
    <row r="6" spans="2:3" ht="15" customHeight="1" x14ac:dyDescent="0.25">
      <c r="B6" s="4" t="s">
        <v>3</v>
      </c>
      <c r="C6" s="5" t="s">
        <v>4</v>
      </c>
    </row>
    <row r="7" spans="2:3" ht="15" customHeight="1" x14ac:dyDescent="0.25">
      <c r="B7" s="6" t="s">
        <v>5</v>
      </c>
      <c r="C7" s="5" t="s">
        <v>6</v>
      </c>
    </row>
    <row r="8" spans="2:3" ht="15" customHeight="1" x14ac:dyDescent="0.25">
      <c r="B8" s="7" t="s">
        <v>7</v>
      </c>
      <c r="C8" s="5" t="s">
        <v>8</v>
      </c>
    </row>
    <row r="10" spans="2:3" ht="15" customHeight="1" x14ac:dyDescent="0.25">
      <c r="B10" s="3" t="s">
        <v>9</v>
      </c>
    </row>
    <row r="11" spans="2:3" ht="30" customHeight="1" x14ac:dyDescent="0.25">
      <c r="B11" s="8" t="s">
        <v>10</v>
      </c>
      <c r="C11" s="5" t="s">
        <v>11</v>
      </c>
    </row>
    <row r="12" spans="2:3" ht="30" customHeight="1" x14ac:dyDescent="0.25">
      <c r="B12" s="8" t="s">
        <v>12</v>
      </c>
      <c r="C12" s="5" t="s">
        <v>13</v>
      </c>
    </row>
    <row r="13" spans="2:3" ht="30" customHeight="1" x14ac:dyDescent="0.25">
      <c r="B13" s="8" t="s">
        <v>14</v>
      </c>
      <c r="C13" s="5" t="s">
        <v>15</v>
      </c>
    </row>
    <row r="14" spans="2:3" ht="30" customHeight="1" x14ac:dyDescent="0.25">
      <c r="B14" s="8" t="s">
        <v>16</v>
      </c>
      <c r="C14" s="5" t="s">
        <v>17</v>
      </c>
    </row>
    <row r="15" spans="2:3" ht="30" customHeight="1" x14ac:dyDescent="0.25">
      <c r="B15" s="8" t="s">
        <v>18</v>
      </c>
      <c r="C15" s="5" t="s">
        <v>19</v>
      </c>
    </row>
    <row r="16" spans="2:3" ht="30" customHeight="1" x14ac:dyDescent="0.25">
      <c r="B16" s="9" t="s">
        <v>20</v>
      </c>
      <c r="C16" s="10" t="s">
        <v>21</v>
      </c>
    </row>
    <row r="17" spans="2:3" ht="15" customHeight="1" x14ac:dyDescent="0.25">
      <c r="B17" s="3" t="s">
        <v>22</v>
      </c>
    </row>
    <row r="18" spans="2:3" ht="27.75" customHeight="1" x14ac:dyDescent="0.25">
      <c r="B18" s="7" t="s">
        <v>23</v>
      </c>
      <c r="C18" s="5" t="s">
        <v>24</v>
      </c>
    </row>
    <row r="19" spans="2:3" ht="27.75" customHeight="1" x14ac:dyDescent="0.25">
      <c r="B19" s="7" t="s">
        <v>23</v>
      </c>
      <c r="C19" s="5" t="s">
        <v>25</v>
      </c>
    </row>
    <row r="20" spans="2:3" ht="27.75" customHeight="1" x14ac:dyDescent="0.25">
      <c r="B20" s="7" t="s">
        <v>23</v>
      </c>
      <c r="C20" s="5" t="s">
        <v>26</v>
      </c>
    </row>
  </sheetData>
  <pageMargins left="0.75" right="0.75" top="1" bottom="1" header="0.511811023622047" footer="0.511811023622047"/>
  <pageSetup paperSize="9" orientation="portrait" useFirstPageNumber="1" horizontalDpi="300" verticalDpi="300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zoomScaleNormal="100" workbookViewId="0"/>
  </sheetViews>
  <sheetFormatPr defaultColWidth="8.7109375" defaultRowHeight="14.45" customHeight="1" x14ac:dyDescent="0.25"/>
  <cols>
    <col min="1" max="8" width="18" customWidth="1"/>
  </cols>
  <sheetData>
    <row r="1" spans="1:8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</row>
    <row r="3" spans="1:8" x14ac:dyDescent="0.25">
      <c r="A3" s="7" t="s">
        <v>43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</row>
    <row r="4" spans="1:8" x14ac:dyDescent="0.25">
      <c r="A4" s="7" t="s">
        <v>51</v>
      </c>
      <c r="B4" s="7" t="s">
        <v>52</v>
      </c>
      <c r="C4" s="7" t="s">
        <v>46</v>
      </c>
      <c r="D4" s="7" t="s">
        <v>45</v>
      </c>
      <c r="E4" s="7" t="s">
        <v>53</v>
      </c>
      <c r="F4" s="7" t="s">
        <v>54</v>
      </c>
      <c r="H4" s="7" t="s">
        <v>55</v>
      </c>
    </row>
    <row r="5" spans="1:8" x14ac:dyDescent="0.25">
      <c r="A5" s="7" t="s">
        <v>56</v>
      </c>
      <c r="B5" s="7" t="s">
        <v>57</v>
      </c>
      <c r="C5" s="7" t="s">
        <v>38</v>
      </c>
      <c r="E5" s="7" t="s">
        <v>58</v>
      </c>
      <c r="F5" s="7" t="s">
        <v>59</v>
      </c>
      <c r="H5" s="7" t="s">
        <v>60</v>
      </c>
    </row>
    <row r="6" spans="1:8" x14ac:dyDescent="0.25">
      <c r="A6" s="7" t="s">
        <v>61</v>
      </c>
      <c r="B6" s="7" t="s">
        <v>62</v>
      </c>
      <c r="F6" s="7" t="s">
        <v>63</v>
      </c>
      <c r="H6" s="7" t="s">
        <v>64</v>
      </c>
    </row>
    <row r="7" spans="1:8" x14ac:dyDescent="0.25">
      <c r="A7" s="7" t="s">
        <v>65</v>
      </c>
      <c r="B7" s="7" t="s">
        <v>66</v>
      </c>
      <c r="H7" s="7" t="s">
        <v>67</v>
      </c>
    </row>
    <row r="8" spans="1:8" x14ac:dyDescent="0.25">
      <c r="A8" s="7" t="s">
        <v>68</v>
      </c>
      <c r="H8" s="7" t="s">
        <v>69</v>
      </c>
    </row>
    <row r="9" spans="1:8" x14ac:dyDescent="0.25">
      <c r="A9" s="7" t="s">
        <v>70</v>
      </c>
      <c r="H9" s="7" t="s">
        <v>71</v>
      </c>
    </row>
    <row r="10" spans="1:8" x14ac:dyDescent="0.25">
      <c r="A10" s="7" t="s">
        <v>72</v>
      </c>
      <c r="H10" s="7" t="s">
        <v>73</v>
      </c>
    </row>
    <row r="11" spans="1:8" x14ac:dyDescent="0.25">
      <c r="A11" s="7" t="s">
        <v>74</v>
      </c>
      <c r="H11" s="7" t="s">
        <v>75</v>
      </c>
    </row>
    <row r="12" spans="1:8" x14ac:dyDescent="0.25">
      <c r="A12" s="7" t="s">
        <v>76</v>
      </c>
    </row>
    <row r="13" spans="1:8" x14ac:dyDescent="0.25">
      <c r="A13" s="7" t="s">
        <v>77</v>
      </c>
    </row>
    <row r="14" spans="1:8" x14ac:dyDescent="0.25">
      <c r="A14" s="7" t="s">
        <v>78</v>
      </c>
    </row>
    <row r="15" spans="1:8" x14ac:dyDescent="0.25">
      <c r="A15" s="11" t="s">
        <v>79</v>
      </c>
    </row>
    <row r="16" spans="1:8" x14ac:dyDescent="0.25">
      <c r="A16" s="11" t="s">
        <v>80</v>
      </c>
    </row>
    <row r="17" spans="1:1" x14ac:dyDescent="0.25">
      <c r="A17" s="7" t="s">
        <v>81</v>
      </c>
    </row>
    <row r="18" spans="1:1" x14ac:dyDescent="0.25">
      <c r="A18" s="7" t="s">
        <v>82</v>
      </c>
    </row>
    <row r="19" spans="1:1" x14ac:dyDescent="0.25">
      <c r="A19" s="7" t="s">
        <v>83</v>
      </c>
    </row>
    <row r="20" spans="1:1" x14ac:dyDescent="0.25">
      <c r="A20" s="7" t="s">
        <v>84</v>
      </c>
    </row>
    <row r="21" spans="1:1" x14ac:dyDescent="0.25">
      <c r="A21" s="7" t="s">
        <v>85</v>
      </c>
    </row>
    <row r="22" spans="1:1" x14ac:dyDescent="0.25">
      <c r="A22" s="7" t="s">
        <v>86</v>
      </c>
    </row>
  </sheetData>
  <pageMargins left="0.75" right="0.75" top="1" bottom="1" header="0.511811023622047" footer="0.511811023622047"/>
  <pageSetup paperSize="9" orientation="portrait" useFirstPageNumber="1" horizontalDpi="300" verticalDpi="300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O9" sqref="O9"/>
    </sheetView>
  </sheetViews>
  <sheetFormatPr defaultColWidth="8.7109375" defaultRowHeight="14.45" customHeight="1" x14ac:dyDescent="0.25"/>
  <cols>
    <col min="1" max="1" width="6" customWidth="1"/>
    <col min="2" max="2" width="12" customWidth="1"/>
    <col min="3" max="3" width="26" customWidth="1"/>
    <col min="5" max="5" width="10" customWidth="1"/>
    <col min="6" max="8" width="8" customWidth="1"/>
    <col min="11" max="11" width="8" customWidth="1"/>
    <col min="15" max="15" width="23.28515625" customWidth="1"/>
    <col min="16" max="16" width="9.5703125" customWidth="1"/>
    <col min="17" max="17" width="13.5703125" customWidth="1"/>
  </cols>
  <sheetData>
    <row r="1" spans="1:17" ht="55.15" customHeight="1" x14ac:dyDescent="0.25">
      <c r="A1" t="s">
        <v>34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58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</row>
    <row r="2" spans="1:17" s="12" customFormat="1" ht="48" customHeight="1" x14ac:dyDescent="0.25">
      <c r="A2" s="12">
        <v>1</v>
      </c>
      <c r="C2" s="12" t="s">
        <v>102</v>
      </c>
      <c r="D2" s="12">
        <v>8</v>
      </c>
      <c r="E2" s="12">
        <v>8</v>
      </c>
      <c r="F2" s="12">
        <v>8</v>
      </c>
      <c r="G2" s="12">
        <v>0</v>
      </c>
      <c r="H2" s="12">
        <v>0</v>
      </c>
      <c r="I2" s="12">
        <f t="shared" ref="I2:I10" si="0">IFERROR(E2/D2,"")</f>
        <v>1</v>
      </c>
      <c r="J2" s="13">
        <f t="shared" ref="J2:J10" si="1">IFERROR(F2/E2,"")</f>
        <v>1</v>
      </c>
      <c r="K2" s="13"/>
      <c r="N2" s="12">
        <v>0</v>
      </c>
      <c r="O2" s="12" t="s">
        <v>103</v>
      </c>
      <c r="P2" s="12" t="s">
        <v>104</v>
      </c>
      <c r="Q2" s="12" t="s">
        <v>105</v>
      </c>
    </row>
    <row r="3" spans="1:17" s="14" customFormat="1" ht="48" customHeight="1" x14ac:dyDescent="0.25">
      <c r="A3" s="10">
        <v>2</v>
      </c>
      <c r="B3" s="10"/>
      <c r="C3" s="10" t="s">
        <v>106</v>
      </c>
      <c r="D3" s="10">
        <v>18</v>
      </c>
      <c r="E3" s="10">
        <v>18</v>
      </c>
      <c r="F3" s="10">
        <v>17</v>
      </c>
      <c r="G3" s="10">
        <v>1</v>
      </c>
      <c r="H3" s="10">
        <v>0</v>
      </c>
      <c r="I3" s="10">
        <f t="shared" si="0"/>
        <v>1</v>
      </c>
      <c r="J3" s="15">
        <f t="shared" si="1"/>
        <v>0.94444444444444442</v>
      </c>
      <c r="K3" s="15"/>
      <c r="L3" s="10"/>
      <c r="M3" s="10"/>
      <c r="N3" s="10">
        <v>0</v>
      </c>
      <c r="O3" s="10" t="s">
        <v>107</v>
      </c>
      <c r="P3" s="10" t="s">
        <v>104</v>
      </c>
      <c r="Q3" s="10" t="s">
        <v>108</v>
      </c>
    </row>
    <row r="4" spans="1:17" s="14" customFormat="1" ht="48" customHeight="1" x14ac:dyDescent="0.25">
      <c r="A4" s="10">
        <v>3</v>
      </c>
      <c r="B4" s="10"/>
      <c r="C4" s="10" t="s">
        <v>109</v>
      </c>
      <c r="D4" s="10">
        <v>15</v>
      </c>
      <c r="E4" s="10">
        <v>15</v>
      </c>
      <c r="F4" s="10">
        <v>14</v>
      </c>
      <c r="G4" s="10">
        <v>1</v>
      </c>
      <c r="H4" s="10">
        <v>0</v>
      </c>
      <c r="I4" s="10">
        <f t="shared" si="0"/>
        <v>1</v>
      </c>
      <c r="J4" s="15">
        <f t="shared" si="1"/>
        <v>0.93333333333333335</v>
      </c>
      <c r="K4" s="15"/>
      <c r="L4" s="10"/>
      <c r="M4" s="10"/>
      <c r="N4" s="10">
        <v>0</v>
      </c>
      <c r="O4" s="10" t="s">
        <v>110</v>
      </c>
      <c r="P4" s="10" t="s">
        <v>104</v>
      </c>
      <c r="Q4" s="10" t="s">
        <v>108</v>
      </c>
    </row>
    <row r="5" spans="1:17" s="14" customFormat="1" ht="48" customHeight="1" x14ac:dyDescent="0.25">
      <c r="A5" s="10">
        <v>4</v>
      </c>
      <c r="B5" s="10"/>
      <c r="C5" s="10" t="s">
        <v>111</v>
      </c>
      <c r="D5" s="10">
        <v>18</v>
      </c>
      <c r="E5" s="10">
        <v>18</v>
      </c>
      <c r="F5" s="10">
        <v>12</v>
      </c>
      <c r="G5" s="10">
        <v>6</v>
      </c>
      <c r="H5" s="10">
        <v>0</v>
      </c>
      <c r="I5" s="10">
        <f t="shared" si="0"/>
        <v>1</v>
      </c>
      <c r="J5" s="15">
        <f t="shared" si="1"/>
        <v>0.66666666666666663</v>
      </c>
      <c r="K5" s="15"/>
      <c r="L5" s="10"/>
      <c r="M5" s="10"/>
      <c r="N5" s="10">
        <v>0</v>
      </c>
      <c r="O5" s="10" t="s">
        <v>112</v>
      </c>
      <c r="P5" s="10" t="s">
        <v>104</v>
      </c>
      <c r="Q5" s="10" t="s">
        <v>113</v>
      </c>
    </row>
    <row r="6" spans="1:17" s="14" customFormat="1" ht="48" customHeight="1" x14ac:dyDescent="0.25">
      <c r="A6" s="10">
        <v>5</v>
      </c>
      <c r="B6" s="10"/>
      <c r="C6" s="10" t="s">
        <v>114</v>
      </c>
      <c r="D6" s="10">
        <v>18</v>
      </c>
      <c r="E6" s="10">
        <v>18</v>
      </c>
      <c r="F6" s="10">
        <v>16</v>
      </c>
      <c r="G6" s="10">
        <v>2</v>
      </c>
      <c r="H6" s="10">
        <v>0</v>
      </c>
      <c r="I6" s="10">
        <f t="shared" si="0"/>
        <v>1</v>
      </c>
      <c r="J6" s="15">
        <f t="shared" si="1"/>
        <v>0.88888888888888884</v>
      </c>
      <c r="K6" s="15"/>
      <c r="L6" s="10"/>
      <c r="M6" s="10"/>
      <c r="N6" s="10">
        <v>0</v>
      </c>
      <c r="O6" s="10" t="s">
        <v>115</v>
      </c>
      <c r="P6" s="10" t="s">
        <v>104</v>
      </c>
      <c r="Q6" s="10" t="s">
        <v>116</v>
      </c>
    </row>
    <row r="7" spans="1:17" s="14" customFormat="1" ht="48" customHeight="1" x14ac:dyDescent="0.25">
      <c r="A7" s="10">
        <v>6</v>
      </c>
      <c r="B7" s="10"/>
      <c r="C7" s="10" t="s">
        <v>117</v>
      </c>
      <c r="D7" s="10">
        <v>15</v>
      </c>
      <c r="E7" s="10">
        <v>15</v>
      </c>
      <c r="F7" s="10">
        <v>14</v>
      </c>
      <c r="G7" s="10">
        <v>1</v>
      </c>
      <c r="H7" s="10">
        <v>0</v>
      </c>
      <c r="I7" s="10">
        <f t="shared" si="0"/>
        <v>1</v>
      </c>
      <c r="J7" s="15">
        <f t="shared" si="1"/>
        <v>0.93333333333333335</v>
      </c>
      <c r="K7" s="15"/>
      <c r="L7" s="10"/>
      <c r="M7" s="10"/>
      <c r="N7" s="10">
        <v>0</v>
      </c>
      <c r="O7" s="10" t="s">
        <v>118</v>
      </c>
      <c r="P7" s="10" t="s">
        <v>104</v>
      </c>
      <c r="Q7" s="10" t="s">
        <v>108</v>
      </c>
    </row>
    <row r="8" spans="1:17" s="14" customFormat="1" ht="48" customHeight="1" x14ac:dyDescent="0.25">
      <c r="A8" s="10">
        <v>7</v>
      </c>
      <c r="B8" s="10"/>
      <c r="C8" s="10" t="s">
        <v>119</v>
      </c>
      <c r="D8" s="10">
        <v>15</v>
      </c>
      <c r="E8" s="10">
        <v>15</v>
      </c>
      <c r="F8" s="10">
        <v>15</v>
      </c>
      <c r="G8" s="10">
        <v>0</v>
      </c>
      <c r="H8" s="10">
        <v>0</v>
      </c>
      <c r="I8" s="10">
        <f t="shared" si="0"/>
        <v>1</v>
      </c>
      <c r="J8" s="15">
        <f t="shared" si="1"/>
        <v>1</v>
      </c>
      <c r="K8" s="15"/>
      <c r="L8" s="10"/>
      <c r="M8" s="10"/>
      <c r="N8" s="10">
        <v>0</v>
      </c>
      <c r="O8" s="10" t="s">
        <v>103</v>
      </c>
      <c r="P8" s="10" t="s">
        <v>104</v>
      </c>
      <c r="Q8" s="10" t="s">
        <v>120</v>
      </c>
    </row>
    <row r="9" spans="1:17" s="14" customFormat="1" ht="48" customHeight="1" x14ac:dyDescent="0.25">
      <c r="A9" s="10">
        <v>8</v>
      </c>
      <c r="B9" s="10"/>
      <c r="C9" s="10" t="s">
        <v>121</v>
      </c>
      <c r="D9" s="10">
        <v>22</v>
      </c>
      <c r="E9" s="10">
        <v>22</v>
      </c>
      <c r="F9" s="10">
        <v>22</v>
      </c>
      <c r="G9" s="10">
        <v>0</v>
      </c>
      <c r="H9" s="10">
        <v>0</v>
      </c>
      <c r="I9" s="10">
        <f t="shared" si="0"/>
        <v>1</v>
      </c>
      <c r="J9" s="15">
        <f t="shared" si="1"/>
        <v>1</v>
      </c>
      <c r="K9" s="15"/>
      <c r="L9" s="10"/>
      <c r="M9" s="10"/>
      <c r="N9" s="10">
        <v>0</v>
      </c>
      <c r="O9" s="10" t="s">
        <v>103</v>
      </c>
      <c r="P9" s="10" t="s">
        <v>104</v>
      </c>
      <c r="Q9" s="10" t="s">
        <v>122</v>
      </c>
    </row>
    <row r="10" spans="1:17" s="14" customFormat="1" ht="48" customHeight="1" x14ac:dyDescent="0.25">
      <c r="A10" s="10">
        <v>9</v>
      </c>
      <c r="B10" s="10"/>
      <c r="C10" s="10" t="s">
        <v>123</v>
      </c>
      <c r="D10" s="10">
        <v>15</v>
      </c>
      <c r="E10" s="10">
        <v>15</v>
      </c>
      <c r="F10" s="10">
        <v>15</v>
      </c>
      <c r="G10" s="10">
        <v>0</v>
      </c>
      <c r="H10" s="10">
        <v>0</v>
      </c>
      <c r="I10" s="10">
        <f t="shared" si="0"/>
        <v>1</v>
      </c>
      <c r="J10" s="15">
        <f t="shared" si="1"/>
        <v>1</v>
      </c>
      <c r="K10" s="15"/>
      <c r="L10" s="10"/>
      <c r="M10" s="10"/>
      <c r="N10" s="10">
        <v>0</v>
      </c>
      <c r="O10" s="10" t="s">
        <v>124</v>
      </c>
      <c r="P10" s="10" t="s">
        <v>104</v>
      </c>
      <c r="Q10" s="10" t="s">
        <v>125</v>
      </c>
    </row>
    <row r="11" spans="1:17" s="14" customFormat="1" ht="48" customHeight="1" x14ac:dyDescent="0.25">
      <c r="A11" s="10">
        <v>10</v>
      </c>
      <c r="B11" s="10">
        <v>10</v>
      </c>
      <c r="C11" s="10" t="s">
        <v>126</v>
      </c>
      <c r="D11" s="10">
        <v>144</v>
      </c>
      <c r="E11" s="10">
        <v>144</v>
      </c>
      <c r="F11" s="10">
        <v>143</v>
      </c>
      <c r="G11" s="10">
        <v>1</v>
      </c>
      <c r="H11" s="10">
        <v>0</v>
      </c>
      <c r="I11" s="10">
        <v>1</v>
      </c>
      <c r="J11" s="15">
        <v>0.99305555555555558</v>
      </c>
      <c r="K11" s="15" t="s">
        <v>103</v>
      </c>
      <c r="L11" s="10">
        <v>0</v>
      </c>
      <c r="M11" s="10">
        <v>0</v>
      </c>
      <c r="N11" s="10">
        <v>1</v>
      </c>
      <c r="O11" s="10" t="s">
        <v>127</v>
      </c>
      <c r="P11" s="10" t="s">
        <v>104</v>
      </c>
      <c r="Q11" s="10" t="s">
        <v>128</v>
      </c>
    </row>
    <row r="12" spans="1:17" s="14" customFormat="1" ht="54" customHeight="1" x14ac:dyDescent="0.25">
      <c r="A12" s="10"/>
      <c r="B12" s="10"/>
      <c r="C12" s="16" t="s">
        <v>129</v>
      </c>
      <c r="D12" s="16">
        <f>SUM(D2:D11)</f>
        <v>288</v>
      </c>
      <c r="E12" s="16">
        <f>SUM(E2:E11)</f>
        <v>288</v>
      </c>
      <c r="F12" s="16">
        <f>SUM(F2:F11)</f>
        <v>276</v>
      </c>
      <c r="G12" s="16">
        <f>SUM(G2:G11)</f>
        <v>12</v>
      </c>
      <c r="H12" s="16">
        <f>SUM(H2:H11)</f>
        <v>0</v>
      </c>
      <c r="I12" s="16">
        <f>IFERROR(E12/D12,"")</f>
        <v>1</v>
      </c>
      <c r="J12" s="17">
        <f>IFERROR(F12/E12,"")</f>
        <v>0.95833333333333337</v>
      </c>
      <c r="K12" s="15"/>
      <c r="L12" s="16">
        <f>SUM(L2:L11)</f>
        <v>0</v>
      </c>
      <c r="M12" s="16">
        <f>SUM(M2:M11)</f>
        <v>0</v>
      </c>
      <c r="N12" s="16">
        <f>SUM(N2:N11)</f>
        <v>1</v>
      </c>
      <c r="O12" s="10"/>
      <c r="P12" s="10"/>
      <c r="Q12" s="16" t="s">
        <v>130</v>
      </c>
    </row>
  </sheetData>
  <conditionalFormatting sqref="J2:J11">
    <cfRule type="cellIs" dxfId="5" priority="2" operator="lessThan">
      <formula>0.85</formula>
    </cfRule>
    <cfRule type="cellIs" dxfId="4" priority="3" operator="greaterThanOrEqual">
      <formula>0.85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  <headerFooter>
    <oddHeader>&amp;L&amp;"Aptos"&amp;10&amp;K008000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0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4.45" customHeight="1" x14ac:dyDescent="0.25"/>
  <cols>
    <col min="1" max="1" width="13.28515625" customWidth="1"/>
    <col min="2" max="2" width="21.5703125" customWidth="1"/>
    <col min="3" max="3" width="52.7109375" customWidth="1"/>
    <col min="4" max="4" width="10.7109375" customWidth="1"/>
    <col min="5" max="5" width="8.140625" customWidth="1"/>
    <col min="6" max="6" width="11" customWidth="1"/>
    <col min="7" max="7" width="10.140625" customWidth="1"/>
    <col min="8" max="8" width="11.7109375" customWidth="1"/>
    <col min="9" max="9" width="12.28515625" customWidth="1"/>
    <col min="10" max="10" width="10.7109375" customWidth="1"/>
    <col min="11" max="11" width="17.85546875" customWidth="1"/>
    <col min="12" max="12" width="13.140625" customWidth="1"/>
    <col min="13" max="13" width="11" customWidth="1"/>
    <col min="14" max="14" width="26.7109375" customWidth="1"/>
  </cols>
  <sheetData>
    <row r="1" spans="1:14" ht="24" customHeight="1" x14ac:dyDescent="0.25">
      <c r="A1" s="18" t="s">
        <v>131</v>
      </c>
      <c r="B1" s="18" t="s">
        <v>27</v>
      </c>
      <c r="C1" s="18" t="s">
        <v>132</v>
      </c>
      <c r="D1" s="18" t="s">
        <v>28</v>
      </c>
      <c r="E1" s="18" t="s">
        <v>29</v>
      </c>
      <c r="F1" s="18" t="s">
        <v>30</v>
      </c>
      <c r="G1" s="18" t="s">
        <v>133</v>
      </c>
      <c r="H1" s="18" t="s">
        <v>134</v>
      </c>
      <c r="I1" s="18" t="s">
        <v>135</v>
      </c>
      <c r="J1" s="18" t="s">
        <v>136</v>
      </c>
      <c r="K1" s="18" t="s">
        <v>137</v>
      </c>
      <c r="L1" s="18" t="s">
        <v>138</v>
      </c>
      <c r="M1" s="18" t="s">
        <v>139</v>
      </c>
      <c r="N1" s="18" t="s">
        <v>22</v>
      </c>
    </row>
    <row r="2" spans="1:14" ht="23.45" customHeight="1" x14ac:dyDescent="0.25">
      <c r="A2" s="19" t="s">
        <v>140</v>
      </c>
      <c r="B2" s="19" t="s">
        <v>61</v>
      </c>
      <c r="C2" s="19" t="s">
        <v>141</v>
      </c>
      <c r="D2" s="19" t="s">
        <v>52</v>
      </c>
      <c r="E2" s="19" t="s">
        <v>45</v>
      </c>
      <c r="F2" s="19" t="s">
        <v>46</v>
      </c>
      <c r="G2" s="19">
        <v>4</v>
      </c>
      <c r="H2" s="19">
        <v>4</v>
      </c>
      <c r="I2" s="19" t="s">
        <v>53</v>
      </c>
      <c r="J2" s="19" t="s">
        <v>40</v>
      </c>
      <c r="K2" s="19" t="s">
        <v>41</v>
      </c>
      <c r="L2" s="19" t="s">
        <v>49</v>
      </c>
      <c r="M2" s="19"/>
      <c r="N2" s="19" t="s">
        <v>142</v>
      </c>
    </row>
    <row r="3" spans="1:14" s="12" customFormat="1" ht="38.1" customHeight="1" x14ac:dyDescent="0.25">
      <c r="A3" s="12" t="s">
        <v>143</v>
      </c>
      <c r="B3" s="12" t="s">
        <v>51</v>
      </c>
      <c r="C3" s="12" t="s">
        <v>144</v>
      </c>
      <c r="D3" s="12" t="s">
        <v>145</v>
      </c>
      <c r="E3" s="12" t="s">
        <v>45</v>
      </c>
      <c r="F3" s="12" t="s">
        <v>38</v>
      </c>
      <c r="G3" s="12">
        <v>1</v>
      </c>
      <c r="H3" s="12">
        <v>1</v>
      </c>
      <c r="I3" s="12" t="s">
        <v>53</v>
      </c>
      <c r="J3" s="12" t="s">
        <v>40</v>
      </c>
      <c r="K3" s="12" t="s">
        <v>41</v>
      </c>
      <c r="L3" s="12" t="s">
        <v>49</v>
      </c>
      <c r="N3" s="12" t="s">
        <v>146</v>
      </c>
    </row>
    <row r="4" spans="1:14" s="12" customFormat="1" ht="38.1" customHeight="1" x14ac:dyDescent="0.25">
      <c r="A4" s="20" t="s">
        <v>147</v>
      </c>
      <c r="B4" s="20" t="s">
        <v>51</v>
      </c>
      <c r="C4" s="20" t="s">
        <v>148</v>
      </c>
      <c r="D4" s="20" t="s">
        <v>36</v>
      </c>
      <c r="E4" s="20" t="s">
        <v>45</v>
      </c>
      <c r="F4" s="20" t="s">
        <v>46</v>
      </c>
      <c r="G4" s="20">
        <v>1</v>
      </c>
      <c r="H4" s="20">
        <v>1</v>
      </c>
      <c r="I4" s="20" t="s">
        <v>53</v>
      </c>
      <c r="J4" s="20" t="s">
        <v>40</v>
      </c>
      <c r="K4" s="20" t="s">
        <v>41</v>
      </c>
      <c r="L4" s="20" t="s">
        <v>49</v>
      </c>
      <c r="M4" s="20"/>
      <c r="N4" s="20" t="s">
        <v>149</v>
      </c>
    </row>
    <row r="5" spans="1:14" s="12" customFormat="1" ht="38.1" customHeight="1" x14ac:dyDescent="0.25">
      <c r="A5" s="12" t="s">
        <v>150</v>
      </c>
      <c r="B5" s="12" t="s">
        <v>51</v>
      </c>
      <c r="C5" s="12" t="s">
        <v>151</v>
      </c>
      <c r="D5" s="12" t="s">
        <v>44</v>
      </c>
      <c r="E5" s="12" t="s">
        <v>45</v>
      </c>
      <c r="F5" s="12" t="s">
        <v>38</v>
      </c>
      <c r="G5" s="12">
        <v>1</v>
      </c>
      <c r="H5" s="12">
        <v>1</v>
      </c>
      <c r="I5" s="12" t="s">
        <v>53</v>
      </c>
      <c r="J5" s="12" t="s">
        <v>40</v>
      </c>
      <c r="K5" s="12" t="s">
        <v>41</v>
      </c>
      <c r="L5" s="12" t="s">
        <v>49</v>
      </c>
      <c r="N5" s="12" t="s">
        <v>146</v>
      </c>
    </row>
    <row r="6" spans="1:14" s="12" customFormat="1" ht="38.1" customHeight="1" x14ac:dyDescent="0.25">
      <c r="A6" s="20" t="s">
        <v>152</v>
      </c>
      <c r="B6" s="20" t="s">
        <v>51</v>
      </c>
      <c r="C6" s="20" t="s">
        <v>153</v>
      </c>
      <c r="D6" s="20" t="s">
        <v>44</v>
      </c>
      <c r="E6" s="20" t="s">
        <v>45</v>
      </c>
      <c r="F6" s="20" t="s">
        <v>38</v>
      </c>
      <c r="G6" s="20">
        <v>1</v>
      </c>
      <c r="H6" s="20">
        <v>1</v>
      </c>
      <c r="I6" s="20" t="s">
        <v>53</v>
      </c>
      <c r="J6" s="20" t="s">
        <v>40</v>
      </c>
      <c r="K6" s="20" t="s">
        <v>41</v>
      </c>
      <c r="L6" s="20" t="s">
        <v>49</v>
      </c>
      <c r="M6" s="20"/>
      <c r="N6" s="20" t="s">
        <v>146</v>
      </c>
    </row>
    <row r="7" spans="1:14" s="12" customFormat="1" ht="38.1" customHeight="1" x14ac:dyDescent="0.25">
      <c r="A7" s="12" t="s">
        <v>154</v>
      </c>
      <c r="B7" s="12" t="s">
        <v>51</v>
      </c>
      <c r="C7" s="12" t="s">
        <v>155</v>
      </c>
      <c r="D7" s="12" t="s">
        <v>44</v>
      </c>
      <c r="E7" s="12" t="s">
        <v>45</v>
      </c>
      <c r="F7" s="12" t="s">
        <v>38</v>
      </c>
      <c r="G7" s="12">
        <v>1</v>
      </c>
      <c r="H7" s="12">
        <v>1</v>
      </c>
      <c r="I7" s="12" t="s">
        <v>53</v>
      </c>
      <c r="J7" s="12" t="s">
        <v>40</v>
      </c>
      <c r="K7" s="12" t="s">
        <v>41</v>
      </c>
      <c r="L7" s="12" t="s">
        <v>49</v>
      </c>
      <c r="N7" s="12" t="s">
        <v>146</v>
      </c>
    </row>
    <row r="8" spans="1:14" s="12" customFormat="1" ht="38.1" customHeight="1" x14ac:dyDescent="0.25">
      <c r="A8" s="20" t="s">
        <v>156</v>
      </c>
      <c r="B8" s="20" t="s">
        <v>51</v>
      </c>
      <c r="C8" s="20" t="s">
        <v>157</v>
      </c>
      <c r="D8" s="20" t="s">
        <v>44</v>
      </c>
      <c r="E8" s="20" t="s">
        <v>45</v>
      </c>
      <c r="F8" s="20" t="s">
        <v>38</v>
      </c>
      <c r="G8" s="20">
        <v>1</v>
      </c>
      <c r="H8" s="20">
        <v>1</v>
      </c>
      <c r="I8" s="20" t="s">
        <v>53</v>
      </c>
      <c r="J8" s="20" t="s">
        <v>40</v>
      </c>
      <c r="K8" s="20" t="s">
        <v>41</v>
      </c>
      <c r="L8" s="20" t="s">
        <v>49</v>
      </c>
      <c r="M8" s="20"/>
      <c r="N8" s="20" t="s">
        <v>146</v>
      </c>
    </row>
    <row r="9" spans="1:14" s="12" customFormat="1" ht="38.1" customHeight="1" x14ac:dyDescent="0.25">
      <c r="A9" s="12" t="s">
        <v>158</v>
      </c>
      <c r="B9" s="12" t="s">
        <v>43</v>
      </c>
      <c r="C9" s="12" t="s">
        <v>159</v>
      </c>
      <c r="D9" s="12" t="s">
        <v>145</v>
      </c>
      <c r="E9" s="12" t="s">
        <v>45</v>
      </c>
      <c r="F9" s="12" t="s">
        <v>38</v>
      </c>
      <c r="G9" s="12">
        <v>1</v>
      </c>
      <c r="H9" s="12">
        <v>1</v>
      </c>
      <c r="I9" s="12" t="s">
        <v>53</v>
      </c>
      <c r="J9" s="12" t="s">
        <v>40</v>
      </c>
      <c r="K9" s="12" t="s">
        <v>41</v>
      </c>
      <c r="L9" s="12" t="s">
        <v>49</v>
      </c>
      <c r="N9" s="12" t="s">
        <v>146</v>
      </c>
    </row>
    <row r="10" spans="1:14" s="12" customFormat="1" ht="38.1" customHeight="1" x14ac:dyDescent="0.25">
      <c r="A10" s="20" t="s">
        <v>160</v>
      </c>
      <c r="B10" s="20" t="s">
        <v>43</v>
      </c>
      <c r="C10" s="20" t="s">
        <v>161</v>
      </c>
      <c r="D10" s="20" t="s">
        <v>162</v>
      </c>
      <c r="E10" s="20" t="s">
        <v>45</v>
      </c>
      <c r="F10" s="20" t="s">
        <v>46</v>
      </c>
      <c r="G10" s="20">
        <v>1</v>
      </c>
      <c r="H10" s="20">
        <v>1</v>
      </c>
      <c r="I10" s="20" t="s">
        <v>53</v>
      </c>
      <c r="J10" s="20" t="s">
        <v>40</v>
      </c>
      <c r="K10" s="20" t="s">
        <v>41</v>
      </c>
      <c r="L10" s="20" t="s">
        <v>49</v>
      </c>
      <c r="M10" s="20"/>
      <c r="N10" s="20" t="s">
        <v>163</v>
      </c>
    </row>
    <row r="11" spans="1:14" s="12" customFormat="1" ht="38.1" customHeight="1" x14ac:dyDescent="0.25">
      <c r="A11" s="12" t="s">
        <v>164</v>
      </c>
      <c r="B11" s="12" t="s">
        <v>43</v>
      </c>
      <c r="C11" s="12" t="s">
        <v>165</v>
      </c>
      <c r="D11" s="12" t="s">
        <v>44</v>
      </c>
      <c r="E11" s="12" t="s">
        <v>45</v>
      </c>
      <c r="F11" s="12" t="s">
        <v>38</v>
      </c>
      <c r="G11" s="12">
        <v>2</v>
      </c>
      <c r="H11" s="12">
        <v>2</v>
      </c>
      <c r="I11" s="12" t="s">
        <v>53</v>
      </c>
      <c r="J11" s="12" t="s">
        <v>40</v>
      </c>
      <c r="K11" s="12" t="s">
        <v>41</v>
      </c>
      <c r="L11" s="12" t="s">
        <v>49</v>
      </c>
      <c r="N11" s="12" t="s">
        <v>166</v>
      </c>
    </row>
    <row r="12" spans="1:14" s="12" customFormat="1" ht="38.1" customHeight="1" x14ac:dyDescent="0.25">
      <c r="A12" s="20" t="s">
        <v>167</v>
      </c>
      <c r="B12" s="20" t="s">
        <v>43</v>
      </c>
      <c r="C12" s="20" t="s">
        <v>168</v>
      </c>
      <c r="D12" s="20" t="s">
        <v>44</v>
      </c>
      <c r="E12" s="20" t="s">
        <v>45</v>
      </c>
      <c r="F12" s="20" t="s">
        <v>38</v>
      </c>
      <c r="G12" s="20">
        <v>2</v>
      </c>
      <c r="H12" s="20">
        <v>2</v>
      </c>
      <c r="I12" s="20" t="s">
        <v>53</v>
      </c>
      <c r="J12" s="20" t="s">
        <v>40</v>
      </c>
      <c r="K12" s="20" t="s">
        <v>41</v>
      </c>
      <c r="L12" s="20" t="s">
        <v>49</v>
      </c>
      <c r="M12" s="20"/>
      <c r="N12" s="20" t="s">
        <v>166</v>
      </c>
    </row>
    <row r="13" spans="1:14" s="12" customFormat="1" ht="38.1" customHeight="1" x14ac:dyDescent="0.25">
      <c r="A13" s="12" t="s">
        <v>169</v>
      </c>
      <c r="B13" s="12" t="s">
        <v>43</v>
      </c>
      <c r="C13" s="12" t="s">
        <v>170</v>
      </c>
      <c r="D13" s="12" t="s">
        <v>44</v>
      </c>
      <c r="E13" s="12" t="s">
        <v>45</v>
      </c>
      <c r="F13" s="12" t="s">
        <v>38</v>
      </c>
      <c r="G13" s="12">
        <v>2</v>
      </c>
      <c r="H13" s="12">
        <v>2</v>
      </c>
      <c r="I13" s="12" t="s">
        <v>53</v>
      </c>
      <c r="J13" s="12" t="s">
        <v>40</v>
      </c>
      <c r="K13" s="12" t="s">
        <v>41</v>
      </c>
      <c r="L13" s="12" t="s">
        <v>49</v>
      </c>
      <c r="N13" s="12" t="s">
        <v>166</v>
      </c>
    </row>
    <row r="14" spans="1:14" s="12" customFormat="1" ht="38.1" customHeight="1" x14ac:dyDescent="0.25">
      <c r="A14" s="20" t="s">
        <v>171</v>
      </c>
      <c r="B14" s="20" t="s">
        <v>43</v>
      </c>
      <c r="C14" s="20" t="s">
        <v>172</v>
      </c>
      <c r="D14" s="20" t="s">
        <v>44</v>
      </c>
      <c r="E14" s="20" t="s">
        <v>45</v>
      </c>
      <c r="F14" s="20" t="s">
        <v>38</v>
      </c>
      <c r="G14" s="20">
        <v>2</v>
      </c>
      <c r="H14" s="20">
        <v>2</v>
      </c>
      <c r="I14" s="20" t="s">
        <v>53</v>
      </c>
      <c r="J14" s="20" t="s">
        <v>40</v>
      </c>
      <c r="K14" s="20" t="s">
        <v>41</v>
      </c>
      <c r="L14" s="20" t="s">
        <v>49</v>
      </c>
      <c r="M14" s="20"/>
      <c r="N14" s="20" t="s">
        <v>166</v>
      </c>
    </row>
    <row r="15" spans="1:14" s="14" customFormat="1" ht="38.1" customHeight="1" x14ac:dyDescent="0.25">
      <c r="A15" s="10" t="s">
        <v>173</v>
      </c>
      <c r="B15" s="10" t="s">
        <v>43</v>
      </c>
      <c r="C15" s="10" t="s">
        <v>174</v>
      </c>
      <c r="D15" s="10" t="s">
        <v>44</v>
      </c>
      <c r="E15" s="10" t="s">
        <v>45</v>
      </c>
      <c r="F15" s="10" t="s">
        <v>38</v>
      </c>
      <c r="G15" s="10">
        <v>2</v>
      </c>
      <c r="H15" s="10">
        <v>2</v>
      </c>
      <c r="I15" s="10" t="s">
        <v>53</v>
      </c>
      <c r="J15" s="10" t="s">
        <v>40</v>
      </c>
      <c r="K15" s="10" t="s">
        <v>41</v>
      </c>
      <c r="L15" s="10" t="s">
        <v>49</v>
      </c>
      <c r="M15" s="10"/>
      <c r="N15" s="10" t="s">
        <v>166</v>
      </c>
    </row>
    <row r="16" spans="1:14" s="14" customFormat="1" ht="38.1" customHeight="1" x14ac:dyDescent="0.25">
      <c r="A16" s="21" t="s">
        <v>175</v>
      </c>
      <c r="B16" s="21" t="s">
        <v>43</v>
      </c>
      <c r="C16" s="21" t="s">
        <v>176</v>
      </c>
      <c r="D16" s="21" t="s">
        <v>44</v>
      </c>
      <c r="E16" s="21" t="s">
        <v>45</v>
      </c>
      <c r="F16" s="21" t="s">
        <v>38</v>
      </c>
      <c r="G16" s="21">
        <v>2</v>
      </c>
      <c r="H16" s="21">
        <v>2</v>
      </c>
      <c r="I16" s="21" t="s">
        <v>53</v>
      </c>
      <c r="J16" s="21" t="s">
        <v>40</v>
      </c>
      <c r="K16" s="21" t="s">
        <v>41</v>
      </c>
      <c r="L16" s="21" t="s">
        <v>49</v>
      </c>
      <c r="M16" s="21"/>
      <c r="N16" s="21" t="s">
        <v>166</v>
      </c>
    </row>
    <row r="17" spans="1:14" s="14" customFormat="1" ht="50.1" customHeight="1" x14ac:dyDescent="0.25">
      <c r="A17" s="10" t="s">
        <v>177</v>
      </c>
      <c r="B17" s="10" t="s">
        <v>43</v>
      </c>
      <c r="C17" s="10" t="s">
        <v>178</v>
      </c>
      <c r="D17" s="10" t="s">
        <v>44</v>
      </c>
      <c r="E17" s="10" t="s">
        <v>45</v>
      </c>
      <c r="F17" s="10" t="s">
        <v>38</v>
      </c>
      <c r="G17" s="10">
        <v>2</v>
      </c>
      <c r="H17" s="10">
        <v>2</v>
      </c>
      <c r="I17" s="10" t="s">
        <v>53</v>
      </c>
      <c r="J17" s="10" t="s">
        <v>48</v>
      </c>
      <c r="K17" s="10" t="s">
        <v>41</v>
      </c>
      <c r="L17" s="10" t="s">
        <v>49</v>
      </c>
      <c r="M17" s="10"/>
      <c r="N17" s="10" t="s">
        <v>179</v>
      </c>
    </row>
    <row r="18" spans="1:14" s="14" customFormat="1" ht="38.1" customHeight="1" x14ac:dyDescent="0.25">
      <c r="A18" s="21" t="s">
        <v>180</v>
      </c>
      <c r="B18" s="21" t="s">
        <v>43</v>
      </c>
      <c r="C18" s="21" t="s">
        <v>181</v>
      </c>
      <c r="D18" s="21" t="s">
        <v>44</v>
      </c>
      <c r="E18" s="21" t="s">
        <v>45</v>
      </c>
      <c r="F18" s="21" t="s">
        <v>38</v>
      </c>
      <c r="G18" s="21">
        <v>2</v>
      </c>
      <c r="H18" s="21">
        <v>2</v>
      </c>
      <c r="I18" s="21" t="s">
        <v>53</v>
      </c>
      <c r="J18" s="21" t="s">
        <v>40</v>
      </c>
      <c r="K18" s="21" t="s">
        <v>41</v>
      </c>
      <c r="L18" s="21" t="s">
        <v>49</v>
      </c>
      <c r="M18" s="21"/>
      <c r="N18" s="21" t="s">
        <v>166</v>
      </c>
    </row>
    <row r="19" spans="1:14" s="14" customFormat="1" ht="38.1" customHeight="1" x14ac:dyDescent="0.25">
      <c r="A19" s="10" t="s">
        <v>182</v>
      </c>
      <c r="B19" s="10" t="s">
        <v>43</v>
      </c>
      <c r="C19" s="10" t="s">
        <v>183</v>
      </c>
      <c r="D19" s="10" t="s">
        <v>44</v>
      </c>
      <c r="E19" s="10" t="s">
        <v>45</v>
      </c>
      <c r="F19" s="10" t="s">
        <v>38</v>
      </c>
      <c r="G19" s="10">
        <v>2</v>
      </c>
      <c r="H19" s="10">
        <v>2</v>
      </c>
      <c r="I19" s="10" t="s">
        <v>53</v>
      </c>
      <c r="J19" s="10" t="s">
        <v>40</v>
      </c>
      <c r="K19" s="10" t="s">
        <v>41</v>
      </c>
      <c r="L19" s="10" t="s">
        <v>49</v>
      </c>
      <c r="M19" s="10"/>
      <c r="N19" s="10" t="s">
        <v>166</v>
      </c>
    </row>
    <row r="20" spans="1:14" s="14" customFormat="1" ht="38.1" customHeight="1" x14ac:dyDescent="0.25">
      <c r="A20" s="21" t="s">
        <v>184</v>
      </c>
      <c r="B20" s="21" t="s">
        <v>43</v>
      </c>
      <c r="C20" s="21" t="s">
        <v>185</v>
      </c>
      <c r="D20" s="21" t="s">
        <v>44</v>
      </c>
      <c r="E20" s="21" t="s">
        <v>45</v>
      </c>
      <c r="F20" s="21" t="s">
        <v>38</v>
      </c>
      <c r="G20" s="21">
        <v>2</v>
      </c>
      <c r="H20" s="21">
        <v>2</v>
      </c>
      <c r="I20" s="21" t="s">
        <v>53</v>
      </c>
      <c r="J20" s="21" t="s">
        <v>40</v>
      </c>
      <c r="K20" s="21" t="s">
        <v>41</v>
      </c>
      <c r="L20" s="21" t="s">
        <v>49</v>
      </c>
      <c r="M20" s="21"/>
      <c r="N20" s="21" t="s">
        <v>166</v>
      </c>
    </row>
    <row r="21" spans="1:14" s="14" customFormat="1" ht="38.1" customHeight="1" x14ac:dyDescent="0.25">
      <c r="A21" s="10" t="s">
        <v>186</v>
      </c>
      <c r="B21" s="10" t="s">
        <v>43</v>
      </c>
      <c r="C21" s="10" t="s">
        <v>187</v>
      </c>
      <c r="D21" s="10" t="s">
        <v>44</v>
      </c>
      <c r="E21" s="10" t="s">
        <v>45</v>
      </c>
      <c r="F21" s="10" t="s">
        <v>46</v>
      </c>
      <c r="G21" s="10">
        <v>2</v>
      </c>
      <c r="H21" s="10">
        <v>2</v>
      </c>
      <c r="I21" s="10" t="s">
        <v>53</v>
      </c>
      <c r="J21" s="10" t="s">
        <v>40</v>
      </c>
      <c r="K21" s="10" t="s">
        <v>41</v>
      </c>
      <c r="L21" s="10" t="s">
        <v>49</v>
      </c>
      <c r="M21" s="10"/>
      <c r="N21" s="10" t="s">
        <v>188</v>
      </c>
    </row>
    <row r="22" spans="1:14" s="14" customFormat="1" ht="38.1" customHeight="1" x14ac:dyDescent="0.25">
      <c r="A22" s="21" t="s">
        <v>189</v>
      </c>
      <c r="B22" s="21" t="s">
        <v>43</v>
      </c>
      <c r="C22" s="21" t="s">
        <v>190</v>
      </c>
      <c r="D22" s="21" t="s">
        <v>44</v>
      </c>
      <c r="E22" s="21" t="s">
        <v>45</v>
      </c>
      <c r="F22" s="21" t="s">
        <v>38</v>
      </c>
      <c r="G22" s="21">
        <v>2</v>
      </c>
      <c r="H22" s="21">
        <v>2</v>
      </c>
      <c r="I22" s="21" t="s">
        <v>53</v>
      </c>
      <c r="J22" s="21" t="s">
        <v>40</v>
      </c>
      <c r="K22" s="21" t="s">
        <v>41</v>
      </c>
      <c r="L22" s="21" t="s">
        <v>49</v>
      </c>
      <c r="M22" s="21"/>
      <c r="N22" s="21" t="s">
        <v>191</v>
      </c>
    </row>
    <row r="23" spans="1:14" s="14" customFormat="1" ht="38.1" customHeight="1" x14ac:dyDescent="0.25">
      <c r="A23" s="10" t="s">
        <v>192</v>
      </c>
      <c r="B23" s="10" t="s">
        <v>43</v>
      </c>
      <c r="C23" s="10" t="s">
        <v>193</v>
      </c>
      <c r="D23" s="10" t="s">
        <v>52</v>
      </c>
      <c r="E23" s="10" t="s">
        <v>46</v>
      </c>
      <c r="F23" s="10" t="s">
        <v>46</v>
      </c>
      <c r="G23" s="10">
        <v>2</v>
      </c>
      <c r="H23" s="10">
        <v>2</v>
      </c>
      <c r="I23" s="10" t="s">
        <v>53</v>
      </c>
      <c r="J23" s="10" t="s">
        <v>40</v>
      </c>
      <c r="K23" s="10" t="s">
        <v>41</v>
      </c>
      <c r="L23" s="10" t="s">
        <v>49</v>
      </c>
      <c r="M23" s="10"/>
      <c r="N23" s="10" t="s">
        <v>194</v>
      </c>
    </row>
    <row r="24" spans="1:14" s="14" customFormat="1" ht="38.1" customHeight="1" x14ac:dyDescent="0.25">
      <c r="A24" s="21" t="s">
        <v>195</v>
      </c>
      <c r="B24" s="21" t="s">
        <v>43</v>
      </c>
      <c r="C24" s="21" t="s">
        <v>196</v>
      </c>
      <c r="D24" s="21" t="s">
        <v>57</v>
      </c>
      <c r="E24" s="21" t="s">
        <v>46</v>
      </c>
      <c r="F24" s="21" t="s">
        <v>46</v>
      </c>
      <c r="G24" s="21">
        <v>2</v>
      </c>
      <c r="H24" s="21">
        <v>2</v>
      </c>
      <c r="I24" s="21" t="s">
        <v>53</v>
      </c>
      <c r="J24" s="21" t="s">
        <v>40</v>
      </c>
      <c r="K24" s="21" t="s">
        <v>41</v>
      </c>
      <c r="L24" s="21" t="s">
        <v>49</v>
      </c>
      <c r="M24" s="21"/>
      <c r="N24" s="21" t="s">
        <v>194</v>
      </c>
    </row>
    <row r="25" spans="1:14" s="14" customFormat="1" ht="38.1" customHeight="1" x14ac:dyDescent="0.25">
      <c r="A25" s="10" t="s">
        <v>197</v>
      </c>
      <c r="B25" s="10" t="s">
        <v>43</v>
      </c>
      <c r="C25" s="10" t="s">
        <v>198</v>
      </c>
      <c r="D25" s="10" t="s">
        <v>57</v>
      </c>
      <c r="E25" s="10" t="s">
        <v>45</v>
      </c>
      <c r="F25" s="10" t="s">
        <v>46</v>
      </c>
      <c r="G25" s="10">
        <v>2</v>
      </c>
      <c r="H25" s="10">
        <v>2</v>
      </c>
      <c r="I25" s="10" t="s">
        <v>53</v>
      </c>
      <c r="J25" s="10" t="s">
        <v>40</v>
      </c>
      <c r="K25" s="10" t="s">
        <v>41</v>
      </c>
      <c r="L25" s="10" t="s">
        <v>49</v>
      </c>
      <c r="M25" s="10"/>
      <c r="N25" s="10" t="s">
        <v>194</v>
      </c>
    </row>
    <row r="26" spans="1:14" s="14" customFormat="1" ht="38.1" customHeight="1" x14ac:dyDescent="0.25">
      <c r="A26" s="21" t="s">
        <v>199</v>
      </c>
      <c r="B26" s="21" t="s">
        <v>43</v>
      </c>
      <c r="C26" s="21" t="s">
        <v>200</v>
      </c>
      <c r="D26" s="21" t="s">
        <v>57</v>
      </c>
      <c r="E26" s="21" t="s">
        <v>45</v>
      </c>
      <c r="F26" s="21" t="s">
        <v>46</v>
      </c>
      <c r="G26" s="21">
        <v>2</v>
      </c>
      <c r="H26" s="21">
        <v>2</v>
      </c>
      <c r="I26" s="21" t="s">
        <v>53</v>
      </c>
      <c r="J26" s="21" t="s">
        <v>40</v>
      </c>
      <c r="K26" s="21" t="s">
        <v>41</v>
      </c>
      <c r="L26" s="21" t="s">
        <v>49</v>
      </c>
      <c r="M26" s="21"/>
      <c r="N26" s="21" t="s">
        <v>194</v>
      </c>
    </row>
    <row r="27" spans="1:14" s="14" customFormat="1" ht="38.1" customHeight="1" x14ac:dyDescent="0.25">
      <c r="A27" s="10" t="s">
        <v>201</v>
      </c>
      <c r="B27" s="10" t="s">
        <v>202</v>
      </c>
      <c r="C27" s="10" t="s">
        <v>203</v>
      </c>
      <c r="D27" s="10" t="s">
        <v>202</v>
      </c>
      <c r="E27" s="10" t="s">
        <v>45</v>
      </c>
      <c r="F27" s="10" t="s">
        <v>46</v>
      </c>
      <c r="G27" s="10">
        <v>2</v>
      </c>
      <c r="H27" s="10">
        <v>2</v>
      </c>
      <c r="I27" s="10" t="s">
        <v>53</v>
      </c>
      <c r="J27" s="10" t="s">
        <v>40</v>
      </c>
      <c r="K27" s="10" t="s">
        <v>41</v>
      </c>
      <c r="L27" s="10" t="s">
        <v>49</v>
      </c>
      <c r="M27" s="10"/>
      <c r="N27" s="10" t="s">
        <v>204</v>
      </c>
    </row>
    <row r="28" spans="1:14" s="14" customFormat="1" ht="38.1" customHeight="1" x14ac:dyDescent="0.25">
      <c r="A28" s="21" t="s">
        <v>205</v>
      </c>
      <c r="B28" s="21" t="s">
        <v>202</v>
      </c>
      <c r="C28" s="21" t="s">
        <v>206</v>
      </c>
      <c r="D28" s="21" t="s">
        <v>202</v>
      </c>
      <c r="E28" s="21" t="s">
        <v>45</v>
      </c>
      <c r="F28" s="21" t="s">
        <v>46</v>
      </c>
      <c r="G28" s="21">
        <v>2</v>
      </c>
      <c r="H28" s="21">
        <v>2</v>
      </c>
      <c r="I28" s="21" t="s">
        <v>53</v>
      </c>
      <c r="J28" s="21" t="s">
        <v>40</v>
      </c>
      <c r="K28" s="21" t="s">
        <v>41</v>
      </c>
      <c r="L28" s="21" t="s">
        <v>49</v>
      </c>
      <c r="M28" s="21"/>
      <c r="N28" s="21" t="s">
        <v>207</v>
      </c>
    </row>
    <row r="29" spans="1:14" s="14" customFormat="1" ht="38.1" customHeight="1" x14ac:dyDescent="0.25">
      <c r="A29" s="10" t="s">
        <v>208</v>
      </c>
      <c r="B29" s="10" t="s">
        <v>56</v>
      </c>
      <c r="C29" s="10" t="s">
        <v>209</v>
      </c>
      <c r="D29" s="10" t="s">
        <v>210</v>
      </c>
      <c r="E29" s="10" t="s">
        <v>45</v>
      </c>
      <c r="F29" s="10" t="s">
        <v>38</v>
      </c>
      <c r="G29" s="10">
        <v>3</v>
      </c>
      <c r="H29" s="10">
        <v>3</v>
      </c>
      <c r="I29" s="10" t="s">
        <v>53</v>
      </c>
      <c r="J29" s="10" t="s">
        <v>40</v>
      </c>
      <c r="K29" s="10" t="s">
        <v>41</v>
      </c>
      <c r="L29" s="10" t="s">
        <v>49</v>
      </c>
      <c r="M29" s="10"/>
      <c r="N29" s="10" t="s">
        <v>211</v>
      </c>
    </row>
    <row r="30" spans="1:14" s="14" customFormat="1" ht="38.1" customHeight="1" x14ac:dyDescent="0.25">
      <c r="A30" s="21" t="s">
        <v>212</v>
      </c>
      <c r="B30" s="21" t="s">
        <v>56</v>
      </c>
      <c r="C30" s="21" t="s">
        <v>213</v>
      </c>
      <c r="D30" s="21" t="s">
        <v>214</v>
      </c>
      <c r="E30" s="21" t="s">
        <v>45</v>
      </c>
      <c r="F30" s="21" t="s">
        <v>46</v>
      </c>
      <c r="G30" s="21">
        <v>3</v>
      </c>
      <c r="H30" s="21">
        <v>3</v>
      </c>
      <c r="I30" s="21" t="s">
        <v>53</v>
      </c>
      <c r="J30" s="21" t="s">
        <v>40</v>
      </c>
      <c r="K30" s="21" t="s">
        <v>41</v>
      </c>
      <c r="L30" s="21" t="s">
        <v>49</v>
      </c>
      <c r="M30" s="21"/>
      <c r="N30" s="21" t="s">
        <v>215</v>
      </c>
    </row>
    <row r="31" spans="1:14" s="14" customFormat="1" ht="38.1" customHeight="1" x14ac:dyDescent="0.25">
      <c r="A31" s="10" t="s">
        <v>216</v>
      </c>
      <c r="B31" s="10" t="s">
        <v>56</v>
      </c>
      <c r="C31" s="10" t="s">
        <v>217</v>
      </c>
      <c r="D31" s="10" t="s">
        <v>214</v>
      </c>
      <c r="E31" s="10" t="s">
        <v>45</v>
      </c>
      <c r="F31" s="10" t="s">
        <v>46</v>
      </c>
      <c r="G31" s="10">
        <v>3</v>
      </c>
      <c r="H31" s="10">
        <v>3</v>
      </c>
      <c r="I31" s="10" t="s">
        <v>53</v>
      </c>
      <c r="J31" s="10" t="s">
        <v>40</v>
      </c>
      <c r="K31" s="10" t="s">
        <v>41</v>
      </c>
      <c r="L31" s="10" t="s">
        <v>49</v>
      </c>
      <c r="M31" s="10"/>
      <c r="N31" s="10" t="s">
        <v>215</v>
      </c>
    </row>
    <row r="32" spans="1:14" s="14" customFormat="1" ht="50.1" customHeight="1" x14ac:dyDescent="0.25">
      <c r="A32" s="21" t="s">
        <v>218</v>
      </c>
      <c r="B32" s="21" t="s">
        <v>56</v>
      </c>
      <c r="C32" s="21" t="s">
        <v>219</v>
      </c>
      <c r="D32" s="21" t="s">
        <v>44</v>
      </c>
      <c r="E32" s="21" t="s">
        <v>45</v>
      </c>
      <c r="F32" s="21" t="s">
        <v>46</v>
      </c>
      <c r="G32" s="21">
        <v>3</v>
      </c>
      <c r="H32" s="21">
        <v>3</v>
      </c>
      <c r="I32" s="21" t="s">
        <v>53</v>
      </c>
      <c r="J32" s="21" t="s">
        <v>48</v>
      </c>
      <c r="K32" s="21" t="s">
        <v>41</v>
      </c>
      <c r="L32" s="21" t="s">
        <v>49</v>
      </c>
      <c r="M32" s="21"/>
      <c r="N32" s="21" t="s">
        <v>220</v>
      </c>
    </row>
    <row r="33" spans="1:14" s="14" customFormat="1" ht="38.1" customHeight="1" x14ac:dyDescent="0.25">
      <c r="A33" s="10" t="s">
        <v>221</v>
      </c>
      <c r="B33" s="10" t="s">
        <v>56</v>
      </c>
      <c r="C33" s="10" t="s">
        <v>222</v>
      </c>
      <c r="D33" s="10" t="s">
        <v>162</v>
      </c>
      <c r="E33" s="10" t="s">
        <v>45</v>
      </c>
      <c r="F33" s="10" t="s">
        <v>45</v>
      </c>
      <c r="G33" s="10">
        <v>3</v>
      </c>
      <c r="H33" s="10">
        <v>3</v>
      </c>
      <c r="I33" s="10" t="s">
        <v>53</v>
      </c>
      <c r="J33" s="10" t="s">
        <v>40</v>
      </c>
      <c r="K33" s="10" t="s">
        <v>41</v>
      </c>
      <c r="L33" s="10" t="s">
        <v>49</v>
      </c>
      <c r="M33" s="10"/>
      <c r="N33" s="10" t="s">
        <v>223</v>
      </c>
    </row>
    <row r="34" spans="1:14" s="14" customFormat="1" ht="38.1" customHeight="1" x14ac:dyDescent="0.25">
      <c r="A34" s="21" t="s">
        <v>224</v>
      </c>
      <c r="B34" s="21" t="s">
        <v>56</v>
      </c>
      <c r="C34" s="21" t="s">
        <v>225</v>
      </c>
      <c r="D34" s="21" t="s">
        <v>226</v>
      </c>
      <c r="E34" s="21" t="s">
        <v>45</v>
      </c>
      <c r="F34" s="21" t="s">
        <v>46</v>
      </c>
      <c r="G34" s="21">
        <v>3</v>
      </c>
      <c r="H34" s="21">
        <v>3</v>
      </c>
      <c r="I34" s="21" t="s">
        <v>53</v>
      </c>
      <c r="J34" s="21" t="s">
        <v>40</v>
      </c>
      <c r="K34" s="21" t="s">
        <v>41</v>
      </c>
      <c r="L34" s="21" t="s">
        <v>49</v>
      </c>
      <c r="M34" s="21"/>
      <c r="N34" s="21" t="s">
        <v>191</v>
      </c>
    </row>
    <row r="35" spans="1:14" s="14" customFormat="1" ht="38.1" customHeight="1" x14ac:dyDescent="0.25">
      <c r="A35" s="10" t="s">
        <v>227</v>
      </c>
      <c r="B35" s="10" t="s">
        <v>56</v>
      </c>
      <c r="C35" s="10" t="s">
        <v>228</v>
      </c>
      <c r="D35" s="10" t="s">
        <v>214</v>
      </c>
      <c r="E35" s="10" t="s">
        <v>46</v>
      </c>
      <c r="F35" s="10" t="s">
        <v>38</v>
      </c>
      <c r="G35" s="10">
        <v>3</v>
      </c>
      <c r="H35" s="10">
        <v>3</v>
      </c>
      <c r="I35" s="10" t="s">
        <v>53</v>
      </c>
      <c r="J35" s="10" t="s">
        <v>40</v>
      </c>
      <c r="K35" s="10" t="s">
        <v>41</v>
      </c>
      <c r="L35" s="10" t="s">
        <v>49</v>
      </c>
      <c r="M35" s="10"/>
      <c r="N35" s="10" t="s">
        <v>191</v>
      </c>
    </row>
    <row r="36" spans="1:14" s="14" customFormat="1" ht="38.1" customHeight="1" x14ac:dyDescent="0.25">
      <c r="A36" s="21" t="s">
        <v>229</v>
      </c>
      <c r="B36" s="21" t="s">
        <v>56</v>
      </c>
      <c r="C36" s="21" t="s">
        <v>230</v>
      </c>
      <c r="D36" s="21" t="s">
        <v>214</v>
      </c>
      <c r="E36" s="21" t="s">
        <v>46</v>
      </c>
      <c r="F36" s="21" t="s">
        <v>38</v>
      </c>
      <c r="G36" s="21">
        <v>3</v>
      </c>
      <c r="H36" s="21">
        <v>3</v>
      </c>
      <c r="I36" s="21" t="s">
        <v>53</v>
      </c>
      <c r="J36" s="21" t="s">
        <v>40</v>
      </c>
      <c r="K36" s="21" t="s">
        <v>41</v>
      </c>
      <c r="L36" s="21" t="s">
        <v>49</v>
      </c>
      <c r="M36" s="21"/>
      <c r="N36" s="21" t="s">
        <v>191</v>
      </c>
    </row>
    <row r="37" spans="1:14" s="14" customFormat="1" ht="38.1" customHeight="1" x14ac:dyDescent="0.25">
      <c r="A37" s="10" t="s">
        <v>231</v>
      </c>
      <c r="B37" s="10" t="s">
        <v>56</v>
      </c>
      <c r="C37" s="10" t="s">
        <v>232</v>
      </c>
      <c r="D37" s="10" t="s">
        <v>214</v>
      </c>
      <c r="E37" s="10" t="s">
        <v>46</v>
      </c>
      <c r="F37" s="10" t="s">
        <v>38</v>
      </c>
      <c r="G37" s="10">
        <v>3</v>
      </c>
      <c r="H37" s="10">
        <v>3</v>
      </c>
      <c r="I37" s="10" t="s">
        <v>53</v>
      </c>
      <c r="J37" s="10" t="s">
        <v>40</v>
      </c>
      <c r="K37" s="10" t="s">
        <v>41</v>
      </c>
      <c r="L37" s="10" t="s">
        <v>49</v>
      </c>
      <c r="M37" s="10"/>
      <c r="N37" s="10" t="s">
        <v>191</v>
      </c>
    </row>
    <row r="38" spans="1:14" s="14" customFormat="1" ht="38.1" customHeight="1" x14ac:dyDescent="0.25">
      <c r="A38" s="21" t="s">
        <v>233</v>
      </c>
      <c r="B38" s="21" t="s">
        <v>56</v>
      </c>
      <c r="C38" s="21" t="s">
        <v>234</v>
      </c>
      <c r="D38" s="21" t="s">
        <v>214</v>
      </c>
      <c r="E38" s="21" t="s">
        <v>46</v>
      </c>
      <c r="F38" s="21" t="s">
        <v>38</v>
      </c>
      <c r="G38" s="21">
        <v>3</v>
      </c>
      <c r="H38" s="21">
        <v>3</v>
      </c>
      <c r="I38" s="21" t="s">
        <v>53</v>
      </c>
      <c r="J38" s="21" t="s">
        <v>40</v>
      </c>
      <c r="K38" s="21" t="s">
        <v>41</v>
      </c>
      <c r="L38" s="21" t="s">
        <v>49</v>
      </c>
      <c r="M38" s="21"/>
      <c r="N38" s="21" t="s">
        <v>191</v>
      </c>
    </row>
    <row r="39" spans="1:14" s="14" customFormat="1" ht="38.1" customHeight="1" x14ac:dyDescent="0.25">
      <c r="A39" s="10" t="s">
        <v>235</v>
      </c>
      <c r="B39" s="10" t="s">
        <v>56</v>
      </c>
      <c r="C39" s="10" t="s">
        <v>236</v>
      </c>
      <c r="D39" s="10" t="s">
        <v>214</v>
      </c>
      <c r="E39" s="10" t="s">
        <v>46</v>
      </c>
      <c r="F39" s="10" t="s">
        <v>46</v>
      </c>
      <c r="G39" s="10">
        <v>3</v>
      </c>
      <c r="H39" s="10">
        <v>3</v>
      </c>
      <c r="I39" s="10" t="s">
        <v>53</v>
      </c>
      <c r="J39" s="10" t="s">
        <v>40</v>
      </c>
      <c r="K39" s="10" t="s">
        <v>41</v>
      </c>
      <c r="L39" s="10" t="s">
        <v>49</v>
      </c>
      <c r="M39" s="10"/>
      <c r="N39" s="10" t="s">
        <v>191</v>
      </c>
    </row>
    <row r="40" spans="1:14" s="14" customFormat="1" ht="38.1" customHeight="1" x14ac:dyDescent="0.25">
      <c r="A40" s="21" t="s">
        <v>237</v>
      </c>
      <c r="B40" s="21" t="s">
        <v>56</v>
      </c>
      <c r="C40" s="21" t="s">
        <v>238</v>
      </c>
      <c r="D40" s="21" t="s">
        <v>210</v>
      </c>
      <c r="E40" s="21" t="s">
        <v>46</v>
      </c>
      <c r="F40" s="21" t="s">
        <v>38</v>
      </c>
      <c r="G40" s="21">
        <v>3</v>
      </c>
      <c r="H40" s="21">
        <v>3</v>
      </c>
      <c r="I40" s="21" t="s">
        <v>53</v>
      </c>
      <c r="J40" s="21" t="s">
        <v>40</v>
      </c>
      <c r="K40" s="21" t="s">
        <v>41</v>
      </c>
      <c r="L40" s="21" t="s">
        <v>49</v>
      </c>
      <c r="M40" s="21"/>
      <c r="N40" s="21" t="s">
        <v>191</v>
      </c>
    </row>
    <row r="41" spans="1:14" s="14" customFormat="1" ht="38.1" customHeight="1" x14ac:dyDescent="0.25">
      <c r="A41" s="10" t="s">
        <v>239</v>
      </c>
      <c r="B41" s="10" t="s">
        <v>56</v>
      </c>
      <c r="C41" s="10" t="s">
        <v>240</v>
      </c>
      <c r="D41" s="10" t="s">
        <v>210</v>
      </c>
      <c r="E41" s="10" t="s">
        <v>46</v>
      </c>
      <c r="F41" s="10" t="s">
        <v>38</v>
      </c>
      <c r="G41" s="10">
        <v>3</v>
      </c>
      <c r="H41" s="10">
        <v>3</v>
      </c>
      <c r="I41" s="10" t="s">
        <v>53</v>
      </c>
      <c r="J41" s="10" t="s">
        <v>40</v>
      </c>
      <c r="K41" s="10" t="s">
        <v>41</v>
      </c>
      <c r="L41" s="10" t="s">
        <v>49</v>
      </c>
      <c r="M41" s="10"/>
      <c r="N41" s="10" t="s">
        <v>191</v>
      </c>
    </row>
    <row r="42" spans="1:14" s="14" customFormat="1" ht="38.1" customHeight="1" x14ac:dyDescent="0.25">
      <c r="A42" s="21" t="s">
        <v>241</v>
      </c>
      <c r="B42" s="21" t="s">
        <v>56</v>
      </c>
      <c r="C42" s="21" t="s">
        <v>242</v>
      </c>
      <c r="D42" s="21" t="s">
        <v>243</v>
      </c>
      <c r="E42" s="21" t="s">
        <v>46</v>
      </c>
      <c r="F42" s="21" t="s">
        <v>38</v>
      </c>
      <c r="G42" s="21">
        <v>3</v>
      </c>
      <c r="H42" s="21">
        <v>3</v>
      </c>
      <c r="I42" s="21" t="s">
        <v>53</v>
      </c>
      <c r="J42" s="21" t="s">
        <v>40</v>
      </c>
      <c r="K42" s="21" t="s">
        <v>41</v>
      </c>
      <c r="L42" s="21" t="s">
        <v>49</v>
      </c>
      <c r="M42" s="21"/>
      <c r="N42" s="21" t="s">
        <v>191</v>
      </c>
    </row>
    <row r="43" spans="1:14" s="14" customFormat="1" ht="38.1" customHeight="1" x14ac:dyDescent="0.25">
      <c r="A43" s="10" t="s">
        <v>244</v>
      </c>
      <c r="B43" s="10" t="s">
        <v>56</v>
      </c>
      <c r="C43" s="10" t="s">
        <v>245</v>
      </c>
      <c r="D43" s="10" t="s">
        <v>210</v>
      </c>
      <c r="E43" s="10" t="s">
        <v>46</v>
      </c>
      <c r="F43" s="10" t="s">
        <v>38</v>
      </c>
      <c r="G43" s="10">
        <v>3</v>
      </c>
      <c r="H43" s="10">
        <v>3</v>
      </c>
      <c r="I43" s="10" t="s">
        <v>53</v>
      </c>
      <c r="J43" s="10" t="s">
        <v>40</v>
      </c>
      <c r="K43" s="10" t="s">
        <v>41</v>
      </c>
      <c r="L43" s="10" t="s">
        <v>49</v>
      </c>
      <c r="M43" s="10"/>
      <c r="N43" s="10" t="s">
        <v>191</v>
      </c>
    </row>
    <row r="44" spans="1:14" s="14" customFormat="1" ht="38.1" customHeight="1" x14ac:dyDescent="0.25">
      <c r="A44" s="21" t="s">
        <v>140</v>
      </c>
      <c r="B44" s="21" t="s">
        <v>61</v>
      </c>
      <c r="C44" s="21" t="s">
        <v>246</v>
      </c>
      <c r="D44" s="21" t="s">
        <v>214</v>
      </c>
      <c r="E44" s="21" t="s">
        <v>45</v>
      </c>
      <c r="F44" s="21" t="s">
        <v>46</v>
      </c>
      <c r="G44" s="21">
        <v>4</v>
      </c>
      <c r="H44" s="21">
        <v>4</v>
      </c>
      <c r="I44" s="21" t="s">
        <v>53</v>
      </c>
      <c r="J44" s="21" t="s">
        <v>40</v>
      </c>
      <c r="K44" s="21" t="s">
        <v>41</v>
      </c>
      <c r="L44" s="21" t="s">
        <v>49</v>
      </c>
      <c r="M44" s="21"/>
      <c r="N44" s="21" t="s">
        <v>191</v>
      </c>
    </row>
    <row r="45" spans="1:14" s="14" customFormat="1" ht="38.1" customHeight="1" x14ac:dyDescent="0.25">
      <c r="A45" s="10" t="s">
        <v>247</v>
      </c>
      <c r="B45" s="10" t="s">
        <v>61</v>
      </c>
      <c r="C45" s="10" t="s">
        <v>248</v>
      </c>
      <c r="D45" s="10" t="s">
        <v>52</v>
      </c>
      <c r="E45" s="10" t="s">
        <v>45</v>
      </c>
      <c r="F45" s="10" t="s">
        <v>46</v>
      </c>
      <c r="G45" s="10">
        <v>4</v>
      </c>
      <c r="H45" s="10">
        <v>4</v>
      </c>
      <c r="I45" s="10" t="s">
        <v>53</v>
      </c>
      <c r="J45" s="10" t="s">
        <v>40</v>
      </c>
      <c r="K45" s="10" t="s">
        <v>41</v>
      </c>
      <c r="L45" s="10" t="s">
        <v>49</v>
      </c>
      <c r="M45" s="10"/>
      <c r="N45" s="10" t="s">
        <v>191</v>
      </c>
    </row>
    <row r="46" spans="1:14" s="14" customFormat="1" ht="50.1" customHeight="1" x14ac:dyDescent="0.25">
      <c r="A46" s="21" t="s">
        <v>249</v>
      </c>
      <c r="B46" s="21" t="s">
        <v>61</v>
      </c>
      <c r="C46" s="21" t="s">
        <v>250</v>
      </c>
      <c r="D46" s="21" t="s">
        <v>44</v>
      </c>
      <c r="E46" s="21" t="s">
        <v>45</v>
      </c>
      <c r="F46" s="21" t="s">
        <v>46</v>
      </c>
      <c r="G46" s="21">
        <v>4</v>
      </c>
      <c r="H46" s="21">
        <v>4</v>
      </c>
      <c r="I46" s="21" t="s">
        <v>53</v>
      </c>
      <c r="J46" s="21" t="s">
        <v>48</v>
      </c>
      <c r="K46" s="21" t="s">
        <v>41</v>
      </c>
      <c r="L46" s="21" t="s">
        <v>49</v>
      </c>
      <c r="M46" s="21"/>
      <c r="N46" s="21" t="s">
        <v>251</v>
      </c>
    </row>
    <row r="47" spans="1:14" s="14" customFormat="1" ht="50.1" customHeight="1" x14ac:dyDescent="0.25">
      <c r="A47" s="10" t="s">
        <v>252</v>
      </c>
      <c r="B47" s="10" t="s">
        <v>61</v>
      </c>
      <c r="C47" s="10" t="s">
        <v>253</v>
      </c>
      <c r="D47" s="10" t="s">
        <v>44</v>
      </c>
      <c r="E47" s="10" t="s">
        <v>45</v>
      </c>
      <c r="F47" s="10" t="s">
        <v>38</v>
      </c>
      <c r="G47" s="10">
        <v>4</v>
      </c>
      <c r="H47" s="10">
        <v>4</v>
      </c>
      <c r="I47" s="10" t="s">
        <v>53</v>
      </c>
      <c r="J47" s="10" t="s">
        <v>48</v>
      </c>
      <c r="K47" s="10" t="s">
        <v>41</v>
      </c>
      <c r="L47" s="10" t="s">
        <v>49</v>
      </c>
      <c r="M47" s="10"/>
      <c r="N47" s="10" t="s">
        <v>254</v>
      </c>
    </row>
    <row r="48" spans="1:14" s="14" customFormat="1" ht="50.1" customHeight="1" x14ac:dyDescent="0.25">
      <c r="A48" s="21" t="s">
        <v>255</v>
      </c>
      <c r="B48" s="21" t="s">
        <v>61</v>
      </c>
      <c r="C48" s="21" t="s">
        <v>256</v>
      </c>
      <c r="D48" s="21" t="s">
        <v>52</v>
      </c>
      <c r="E48" s="21" t="s">
        <v>45</v>
      </c>
      <c r="F48" s="21" t="s">
        <v>38</v>
      </c>
      <c r="G48" s="21">
        <v>4</v>
      </c>
      <c r="H48" s="21">
        <v>4</v>
      </c>
      <c r="I48" s="21" t="s">
        <v>53</v>
      </c>
      <c r="J48" s="21" t="s">
        <v>48</v>
      </c>
      <c r="K48" s="21" t="s">
        <v>41</v>
      </c>
      <c r="L48" s="21" t="s">
        <v>49</v>
      </c>
      <c r="M48" s="21"/>
      <c r="N48" s="21" t="s">
        <v>257</v>
      </c>
    </row>
    <row r="49" spans="1:14" s="14" customFormat="1" ht="50.1" customHeight="1" x14ac:dyDescent="0.25">
      <c r="A49" s="10" t="s">
        <v>258</v>
      </c>
      <c r="B49" s="10" t="s">
        <v>61</v>
      </c>
      <c r="C49" s="10" t="s">
        <v>259</v>
      </c>
      <c r="D49" s="10" t="s">
        <v>44</v>
      </c>
      <c r="E49" s="10" t="s">
        <v>45</v>
      </c>
      <c r="F49" s="10" t="s">
        <v>38</v>
      </c>
      <c r="G49" s="10">
        <v>4</v>
      </c>
      <c r="H49" s="10">
        <v>4</v>
      </c>
      <c r="I49" s="10" t="s">
        <v>53</v>
      </c>
      <c r="J49" s="10" t="s">
        <v>48</v>
      </c>
      <c r="K49" s="10" t="s">
        <v>41</v>
      </c>
      <c r="L49" s="10" t="s">
        <v>49</v>
      </c>
      <c r="M49" s="10"/>
      <c r="N49" s="10" t="s">
        <v>260</v>
      </c>
    </row>
    <row r="50" spans="1:14" s="14" customFormat="1" ht="50.1" customHeight="1" x14ac:dyDescent="0.25">
      <c r="A50" s="21" t="s">
        <v>261</v>
      </c>
      <c r="B50" s="21" t="s">
        <v>61</v>
      </c>
      <c r="C50" s="21" t="s">
        <v>262</v>
      </c>
      <c r="D50" s="21" t="s">
        <v>52</v>
      </c>
      <c r="E50" s="21" t="s">
        <v>46</v>
      </c>
      <c r="F50" s="21" t="s">
        <v>38</v>
      </c>
      <c r="G50" s="21">
        <v>4</v>
      </c>
      <c r="H50" s="21">
        <v>4</v>
      </c>
      <c r="I50" s="21" t="s">
        <v>53</v>
      </c>
      <c r="J50" s="21" t="s">
        <v>48</v>
      </c>
      <c r="K50" s="21" t="s">
        <v>41</v>
      </c>
      <c r="L50" s="21" t="s">
        <v>49</v>
      </c>
      <c r="M50" s="21"/>
      <c r="N50" s="21" t="s">
        <v>263</v>
      </c>
    </row>
    <row r="51" spans="1:14" s="14" customFormat="1" ht="50.1" customHeight="1" x14ac:dyDescent="0.25">
      <c r="A51" s="10" t="s">
        <v>264</v>
      </c>
      <c r="B51" s="10" t="s">
        <v>61</v>
      </c>
      <c r="C51" s="10" t="s">
        <v>265</v>
      </c>
      <c r="D51" s="10" t="s">
        <v>44</v>
      </c>
      <c r="E51" s="10" t="s">
        <v>45</v>
      </c>
      <c r="F51" s="10" t="s">
        <v>46</v>
      </c>
      <c r="G51" s="10">
        <v>4</v>
      </c>
      <c r="H51" s="10">
        <v>4</v>
      </c>
      <c r="I51" s="10" t="s">
        <v>53</v>
      </c>
      <c r="J51" s="10" t="s">
        <v>48</v>
      </c>
      <c r="K51" s="10" t="s">
        <v>41</v>
      </c>
      <c r="L51" s="10" t="s">
        <v>49</v>
      </c>
      <c r="M51" s="10"/>
      <c r="N51" s="10" t="s">
        <v>266</v>
      </c>
    </row>
    <row r="52" spans="1:14" s="14" customFormat="1" ht="38.1" customHeight="1" x14ac:dyDescent="0.25">
      <c r="A52" s="21" t="s">
        <v>267</v>
      </c>
      <c r="B52" s="21" t="s">
        <v>61</v>
      </c>
      <c r="C52" s="21" t="s">
        <v>268</v>
      </c>
      <c r="D52" s="21" t="s">
        <v>162</v>
      </c>
      <c r="E52" s="21" t="s">
        <v>45</v>
      </c>
      <c r="F52" s="21" t="s">
        <v>45</v>
      </c>
      <c r="G52" s="21">
        <v>4</v>
      </c>
      <c r="H52" s="21">
        <v>4</v>
      </c>
      <c r="I52" s="21" t="s">
        <v>53</v>
      </c>
      <c r="J52" s="21" t="s">
        <v>40</v>
      </c>
      <c r="K52" s="21" t="s">
        <v>41</v>
      </c>
      <c r="L52" s="21" t="s">
        <v>49</v>
      </c>
      <c r="M52" s="21"/>
      <c r="N52" s="21" t="s">
        <v>223</v>
      </c>
    </row>
    <row r="53" spans="1:14" s="14" customFormat="1" ht="38.1" customHeight="1" x14ac:dyDescent="0.25">
      <c r="A53" s="10" t="s">
        <v>269</v>
      </c>
      <c r="B53" s="10" t="s">
        <v>61</v>
      </c>
      <c r="C53" s="10" t="s">
        <v>270</v>
      </c>
      <c r="D53" s="10" t="s">
        <v>52</v>
      </c>
      <c r="E53" s="10" t="s">
        <v>46</v>
      </c>
      <c r="F53" s="10" t="s">
        <v>38</v>
      </c>
      <c r="G53" s="10">
        <v>4</v>
      </c>
      <c r="H53" s="10">
        <v>4</v>
      </c>
      <c r="I53" s="10" t="s">
        <v>53</v>
      </c>
      <c r="J53" s="10" t="s">
        <v>40</v>
      </c>
      <c r="K53" s="10" t="s">
        <v>41</v>
      </c>
      <c r="L53" s="10" t="s">
        <v>49</v>
      </c>
      <c r="M53" s="10"/>
      <c r="N53" s="10" t="s">
        <v>191</v>
      </c>
    </row>
    <row r="54" spans="1:14" s="14" customFormat="1" ht="38.1" customHeight="1" x14ac:dyDescent="0.25">
      <c r="A54" s="21" t="s">
        <v>271</v>
      </c>
      <c r="B54" s="21" t="s">
        <v>61</v>
      </c>
      <c r="C54" s="21" t="s">
        <v>272</v>
      </c>
      <c r="D54" s="21" t="s">
        <v>214</v>
      </c>
      <c r="E54" s="21" t="s">
        <v>46</v>
      </c>
      <c r="F54" s="21" t="s">
        <v>38</v>
      </c>
      <c r="G54" s="21">
        <v>4</v>
      </c>
      <c r="H54" s="21">
        <v>4</v>
      </c>
      <c r="I54" s="21" t="s">
        <v>53</v>
      </c>
      <c r="J54" s="21" t="s">
        <v>40</v>
      </c>
      <c r="K54" s="21" t="s">
        <v>41</v>
      </c>
      <c r="L54" s="21" t="s">
        <v>49</v>
      </c>
      <c r="M54" s="21"/>
      <c r="N54" s="21" t="s">
        <v>191</v>
      </c>
    </row>
    <row r="55" spans="1:14" s="14" customFormat="1" ht="38.1" customHeight="1" x14ac:dyDescent="0.25">
      <c r="A55" s="10" t="s">
        <v>273</v>
      </c>
      <c r="B55" s="10" t="s">
        <v>61</v>
      </c>
      <c r="C55" s="10" t="s">
        <v>274</v>
      </c>
      <c r="D55" s="10" t="s">
        <v>214</v>
      </c>
      <c r="E55" s="10" t="s">
        <v>46</v>
      </c>
      <c r="F55" s="10" t="s">
        <v>38</v>
      </c>
      <c r="G55" s="10">
        <v>4</v>
      </c>
      <c r="H55" s="10">
        <v>4</v>
      </c>
      <c r="I55" s="10" t="s">
        <v>53</v>
      </c>
      <c r="J55" s="10" t="s">
        <v>40</v>
      </c>
      <c r="K55" s="10" t="s">
        <v>41</v>
      </c>
      <c r="L55" s="10" t="s">
        <v>49</v>
      </c>
      <c r="M55" s="10"/>
      <c r="N55" s="10" t="s">
        <v>191</v>
      </c>
    </row>
    <row r="56" spans="1:14" s="14" customFormat="1" ht="38.1" customHeight="1" x14ac:dyDescent="0.25">
      <c r="A56" s="21" t="s">
        <v>275</v>
      </c>
      <c r="B56" s="21" t="s">
        <v>61</v>
      </c>
      <c r="C56" s="21" t="s">
        <v>276</v>
      </c>
      <c r="D56" s="21" t="s">
        <v>214</v>
      </c>
      <c r="E56" s="21" t="s">
        <v>46</v>
      </c>
      <c r="F56" s="21" t="s">
        <v>38</v>
      </c>
      <c r="G56" s="21">
        <v>4</v>
      </c>
      <c r="H56" s="21">
        <v>4</v>
      </c>
      <c r="I56" s="21" t="s">
        <v>53</v>
      </c>
      <c r="J56" s="21" t="s">
        <v>40</v>
      </c>
      <c r="K56" s="21" t="s">
        <v>41</v>
      </c>
      <c r="L56" s="21" t="s">
        <v>49</v>
      </c>
      <c r="M56" s="21"/>
      <c r="N56" s="21" t="s">
        <v>191</v>
      </c>
    </row>
    <row r="57" spans="1:14" s="14" customFormat="1" ht="38.1" customHeight="1" x14ac:dyDescent="0.25">
      <c r="A57" s="10" t="s">
        <v>277</v>
      </c>
      <c r="B57" s="10" t="s">
        <v>61</v>
      </c>
      <c r="C57" s="10" t="s">
        <v>278</v>
      </c>
      <c r="D57" s="10" t="s">
        <v>214</v>
      </c>
      <c r="E57" s="10" t="s">
        <v>46</v>
      </c>
      <c r="F57" s="10" t="s">
        <v>38</v>
      </c>
      <c r="G57" s="10">
        <v>4</v>
      </c>
      <c r="H57" s="10">
        <v>4</v>
      </c>
      <c r="I57" s="10" t="s">
        <v>53</v>
      </c>
      <c r="J57" s="10" t="s">
        <v>40</v>
      </c>
      <c r="K57" s="10" t="s">
        <v>41</v>
      </c>
      <c r="L57" s="10" t="s">
        <v>49</v>
      </c>
      <c r="M57" s="10"/>
      <c r="N57" s="10" t="s">
        <v>191</v>
      </c>
    </row>
    <row r="58" spans="1:14" s="14" customFormat="1" ht="38.1" customHeight="1" x14ac:dyDescent="0.25">
      <c r="A58" s="21" t="s">
        <v>279</v>
      </c>
      <c r="B58" s="21" t="s">
        <v>61</v>
      </c>
      <c r="C58" s="21" t="s">
        <v>280</v>
      </c>
      <c r="D58" s="21" t="s">
        <v>214</v>
      </c>
      <c r="E58" s="21" t="s">
        <v>46</v>
      </c>
      <c r="F58" s="21" t="s">
        <v>46</v>
      </c>
      <c r="G58" s="21">
        <v>4</v>
      </c>
      <c r="H58" s="21">
        <v>4</v>
      </c>
      <c r="I58" s="21" t="s">
        <v>53</v>
      </c>
      <c r="J58" s="21" t="s">
        <v>40</v>
      </c>
      <c r="K58" s="21" t="s">
        <v>41</v>
      </c>
      <c r="L58" s="21" t="s">
        <v>49</v>
      </c>
      <c r="M58" s="21"/>
      <c r="N58" s="21" t="s">
        <v>191</v>
      </c>
    </row>
    <row r="59" spans="1:14" s="14" customFormat="1" ht="38.1" customHeight="1" x14ac:dyDescent="0.25">
      <c r="A59" s="10" t="s">
        <v>281</v>
      </c>
      <c r="B59" s="10" t="s">
        <v>61</v>
      </c>
      <c r="C59" s="10" t="s">
        <v>282</v>
      </c>
      <c r="D59" s="10" t="s">
        <v>214</v>
      </c>
      <c r="E59" s="10" t="s">
        <v>46</v>
      </c>
      <c r="F59" s="10" t="s">
        <v>46</v>
      </c>
      <c r="G59" s="10">
        <v>4</v>
      </c>
      <c r="H59" s="10">
        <v>4</v>
      </c>
      <c r="I59" s="10" t="s">
        <v>53</v>
      </c>
      <c r="J59" s="10" t="s">
        <v>40</v>
      </c>
      <c r="K59" s="10" t="s">
        <v>41</v>
      </c>
      <c r="L59" s="10" t="s">
        <v>49</v>
      </c>
      <c r="M59" s="10"/>
      <c r="N59" s="10" t="s">
        <v>191</v>
      </c>
    </row>
    <row r="60" spans="1:14" s="14" customFormat="1" ht="38.1" customHeight="1" x14ac:dyDescent="0.25">
      <c r="A60" s="21" t="s">
        <v>283</v>
      </c>
      <c r="B60" s="21" t="s">
        <v>61</v>
      </c>
      <c r="C60" s="21" t="s">
        <v>284</v>
      </c>
      <c r="D60" s="21" t="s">
        <v>214</v>
      </c>
      <c r="E60" s="21" t="s">
        <v>46</v>
      </c>
      <c r="F60" s="21" t="s">
        <v>46</v>
      </c>
      <c r="G60" s="21">
        <v>4</v>
      </c>
      <c r="H60" s="21">
        <v>4</v>
      </c>
      <c r="I60" s="21" t="s">
        <v>53</v>
      </c>
      <c r="J60" s="21" t="s">
        <v>40</v>
      </c>
      <c r="K60" s="21" t="s">
        <v>41</v>
      </c>
      <c r="L60" s="21" t="s">
        <v>49</v>
      </c>
      <c r="M60" s="21"/>
      <c r="N60" s="21" t="s">
        <v>191</v>
      </c>
    </row>
    <row r="61" spans="1:14" s="14" customFormat="1" ht="38.1" customHeight="1" x14ac:dyDescent="0.25">
      <c r="A61" s="10" t="s">
        <v>285</v>
      </c>
      <c r="B61" s="10" t="s">
        <v>61</v>
      </c>
      <c r="C61" s="10" t="s">
        <v>286</v>
      </c>
      <c r="D61" s="10" t="s">
        <v>287</v>
      </c>
      <c r="E61" s="10" t="s">
        <v>45</v>
      </c>
      <c r="F61" s="10" t="s">
        <v>46</v>
      </c>
      <c r="G61" s="10">
        <v>4</v>
      </c>
      <c r="H61" s="10">
        <v>4</v>
      </c>
      <c r="I61" s="10" t="s">
        <v>53</v>
      </c>
      <c r="J61" s="10" t="s">
        <v>40</v>
      </c>
      <c r="K61" s="10" t="s">
        <v>41</v>
      </c>
      <c r="L61" s="10" t="s">
        <v>49</v>
      </c>
      <c r="M61" s="10"/>
      <c r="N61" s="10" t="s">
        <v>191</v>
      </c>
    </row>
    <row r="62" spans="1:14" s="14" customFormat="1" ht="38.1" customHeight="1" x14ac:dyDescent="0.25">
      <c r="A62" s="21" t="s">
        <v>288</v>
      </c>
      <c r="B62" s="21" t="s">
        <v>289</v>
      </c>
      <c r="C62" s="21" t="s">
        <v>290</v>
      </c>
      <c r="D62" s="21" t="s">
        <v>162</v>
      </c>
      <c r="E62" s="21" t="s">
        <v>45</v>
      </c>
      <c r="F62" s="21" t="s">
        <v>46</v>
      </c>
      <c r="G62" s="21">
        <v>5</v>
      </c>
      <c r="H62" s="21">
        <v>5</v>
      </c>
      <c r="I62" s="21" t="s">
        <v>53</v>
      </c>
      <c r="J62" s="21" t="s">
        <v>40</v>
      </c>
      <c r="K62" s="21" t="s">
        <v>41</v>
      </c>
      <c r="L62" s="21" t="s">
        <v>49</v>
      </c>
      <c r="M62" s="21"/>
      <c r="N62" s="21" t="s">
        <v>191</v>
      </c>
    </row>
    <row r="63" spans="1:14" s="14" customFormat="1" ht="38.1" customHeight="1" x14ac:dyDescent="0.25">
      <c r="A63" s="10" t="s">
        <v>291</v>
      </c>
      <c r="B63" s="10" t="s">
        <v>289</v>
      </c>
      <c r="C63" s="10" t="s">
        <v>292</v>
      </c>
      <c r="D63" s="10" t="s">
        <v>44</v>
      </c>
      <c r="E63" s="10" t="s">
        <v>45</v>
      </c>
      <c r="F63" s="10" t="s">
        <v>38</v>
      </c>
      <c r="G63" s="10">
        <v>5</v>
      </c>
      <c r="H63" s="10">
        <v>5</v>
      </c>
      <c r="I63" s="10" t="s">
        <v>53</v>
      </c>
      <c r="J63" s="10" t="s">
        <v>40</v>
      </c>
      <c r="K63" s="10" t="s">
        <v>41</v>
      </c>
      <c r="L63" s="10" t="s">
        <v>49</v>
      </c>
      <c r="M63" s="10"/>
      <c r="N63" s="10" t="s">
        <v>191</v>
      </c>
    </row>
    <row r="64" spans="1:14" s="14" customFormat="1" ht="38.1" customHeight="1" x14ac:dyDescent="0.25">
      <c r="A64" s="21" t="s">
        <v>293</v>
      </c>
      <c r="B64" s="21" t="s">
        <v>289</v>
      </c>
      <c r="C64" s="21" t="s">
        <v>294</v>
      </c>
      <c r="D64" s="21" t="s">
        <v>44</v>
      </c>
      <c r="E64" s="21" t="s">
        <v>45</v>
      </c>
      <c r="F64" s="21" t="s">
        <v>38</v>
      </c>
      <c r="G64" s="21">
        <v>5</v>
      </c>
      <c r="H64" s="21">
        <v>5</v>
      </c>
      <c r="I64" s="21" t="s">
        <v>53</v>
      </c>
      <c r="J64" s="21" t="s">
        <v>40</v>
      </c>
      <c r="K64" s="21" t="s">
        <v>41</v>
      </c>
      <c r="L64" s="21" t="s">
        <v>49</v>
      </c>
      <c r="M64" s="21"/>
      <c r="N64" s="21" t="s">
        <v>191</v>
      </c>
    </row>
    <row r="65" spans="1:14" s="14" customFormat="1" ht="38.1" customHeight="1" x14ac:dyDescent="0.25">
      <c r="A65" s="10" t="s">
        <v>295</v>
      </c>
      <c r="B65" s="10" t="s">
        <v>289</v>
      </c>
      <c r="C65" s="10" t="s">
        <v>296</v>
      </c>
      <c r="D65" s="10" t="s">
        <v>44</v>
      </c>
      <c r="E65" s="10" t="s">
        <v>45</v>
      </c>
      <c r="F65" s="10" t="s">
        <v>38</v>
      </c>
      <c r="G65" s="10">
        <v>5</v>
      </c>
      <c r="H65" s="10">
        <v>5</v>
      </c>
      <c r="I65" s="10" t="s">
        <v>53</v>
      </c>
      <c r="J65" s="10" t="s">
        <v>40</v>
      </c>
      <c r="K65" s="10" t="s">
        <v>41</v>
      </c>
      <c r="L65" s="10" t="s">
        <v>49</v>
      </c>
      <c r="M65" s="10"/>
      <c r="N65" s="10" t="s">
        <v>191</v>
      </c>
    </row>
    <row r="66" spans="1:14" s="14" customFormat="1" ht="38.1" customHeight="1" x14ac:dyDescent="0.25">
      <c r="A66" s="21" t="s">
        <v>297</v>
      </c>
      <c r="B66" s="21" t="s">
        <v>289</v>
      </c>
      <c r="C66" s="21" t="s">
        <v>298</v>
      </c>
      <c r="D66" s="21" t="s">
        <v>44</v>
      </c>
      <c r="E66" s="21" t="s">
        <v>45</v>
      </c>
      <c r="F66" s="21" t="s">
        <v>38</v>
      </c>
      <c r="G66" s="21">
        <v>5</v>
      </c>
      <c r="H66" s="21">
        <v>5</v>
      </c>
      <c r="I66" s="21" t="s">
        <v>53</v>
      </c>
      <c r="J66" s="21" t="s">
        <v>40</v>
      </c>
      <c r="K66" s="21" t="s">
        <v>41</v>
      </c>
      <c r="L66" s="21" t="s">
        <v>49</v>
      </c>
      <c r="M66" s="21"/>
      <c r="N66" s="21" t="s">
        <v>191</v>
      </c>
    </row>
    <row r="67" spans="1:14" s="14" customFormat="1" ht="38.1" customHeight="1" x14ac:dyDescent="0.25">
      <c r="A67" s="10" t="s">
        <v>299</v>
      </c>
      <c r="B67" s="10" t="s">
        <v>289</v>
      </c>
      <c r="C67" s="10" t="s">
        <v>300</v>
      </c>
      <c r="D67" s="10" t="s">
        <v>44</v>
      </c>
      <c r="E67" s="10" t="s">
        <v>45</v>
      </c>
      <c r="F67" s="10" t="s">
        <v>38</v>
      </c>
      <c r="G67" s="10">
        <v>5</v>
      </c>
      <c r="H67" s="10">
        <v>5</v>
      </c>
      <c r="I67" s="10" t="s">
        <v>53</v>
      </c>
      <c r="J67" s="10" t="s">
        <v>40</v>
      </c>
      <c r="K67" s="10" t="s">
        <v>41</v>
      </c>
      <c r="L67" s="10" t="s">
        <v>49</v>
      </c>
      <c r="M67" s="10"/>
      <c r="N67" s="10" t="s">
        <v>191</v>
      </c>
    </row>
    <row r="68" spans="1:14" s="14" customFormat="1" ht="38.1" customHeight="1" x14ac:dyDescent="0.25">
      <c r="A68" s="21" t="s">
        <v>301</v>
      </c>
      <c r="B68" s="21" t="s">
        <v>289</v>
      </c>
      <c r="C68" s="21" t="s">
        <v>302</v>
      </c>
      <c r="D68" s="21" t="s">
        <v>44</v>
      </c>
      <c r="E68" s="21" t="s">
        <v>45</v>
      </c>
      <c r="F68" s="21" t="s">
        <v>38</v>
      </c>
      <c r="G68" s="21">
        <v>5</v>
      </c>
      <c r="H68" s="21">
        <v>5</v>
      </c>
      <c r="I68" s="21" t="s">
        <v>53</v>
      </c>
      <c r="J68" s="21" t="s">
        <v>40</v>
      </c>
      <c r="K68" s="21" t="s">
        <v>41</v>
      </c>
      <c r="L68" s="21" t="s">
        <v>49</v>
      </c>
      <c r="M68" s="21"/>
      <c r="N68" s="21" t="s">
        <v>191</v>
      </c>
    </row>
    <row r="69" spans="1:14" s="14" customFormat="1" ht="38.1" customHeight="1" x14ac:dyDescent="0.25">
      <c r="A69" s="10" t="s">
        <v>303</v>
      </c>
      <c r="B69" s="10" t="s">
        <v>289</v>
      </c>
      <c r="C69" s="10" t="s">
        <v>304</v>
      </c>
      <c r="D69" s="10" t="s">
        <v>44</v>
      </c>
      <c r="E69" s="10" t="s">
        <v>45</v>
      </c>
      <c r="F69" s="10" t="s">
        <v>38</v>
      </c>
      <c r="G69" s="10">
        <v>5</v>
      </c>
      <c r="H69" s="10">
        <v>5</v>
      </c>
      <c r="I69" s="10" t="s">
        <v>53</v>
      </c>
      <c r="J69" s="10" t="s">
        <v>40</v>
      </c>
      <c r="K69" s="10" t="s">
        <v>41</v>
      </c>
      <c r="L69" s="10" t="s">
        <v>49</v>
      </c>
      <c r="M69" s="10"/>
      <c r="N69" s="10" t="s">
        <v>191</v>
      </c>
    </row>
    <row r="70" spans="1:14" s="14" customFormat="1" ht="38.1" customHeight="1" x14ac:dyDescent="0.25">
      <c r="A70" s="21" t="s">
        <v>305</v>
      </c>
      <c r="B70" s="21" t="s">
        <v>289</v>
      </c>
      <c r="C70" s="21" t="s">
        <v>306</v>
      </c>
      <c r="D70" s="21" t="s">
        <v>44</v>
      </c>
      <c r="E70" s="21" t="s">
        <v>45</v>
      </c>
      <c r="F70" s="21" t="s">
        <v>38</v>
      </c>
      <c r="G70" s="21">
        <v>5</v>
      </c>
      <c r="H70" s="21">
        <v>5</v>
      </c>
      <c r="I70" s="21" t="s">
        <v>53</v>
      </c>
      <c r="J70" s="21" t="s">
        <v>40</v>
      </c>
      <c r="K70" s="21" t="s">
        <v>41</v>
      </c>
      <c r="L70" s="21" t="s">
        <v>49</v>
      </c>
      <c r="M70" s="21"/>
      <c r="N70" s="21" t="s">
        <v>191</v>
      </c>
    </row>
    <row r="71" spans="1:14" s="14" customFormat="1" ht="38.1" customHeight="1" x14ac:dyDescent="0.25">
      <c r="A71" s="10" t="s">
        <v>307</v>
      </c>
      <c r="B71" s="10" t="s">
        <v>289</v>
      </c>
      <c r="C71" s="10" t="s">
        <v>308</v>
      </c>
      <c r="D71" s="10" t="s">
        <v>44</v>
      </c>
      <c r="E71" s="10" t="s">
        <v>45</v>
      </c>
      <c r="F71" s="10" t="s">
        <v>38</v>
      </c>
      <c r="G71" s="10">
        <v>5</v>
      </c>
      <c r="H71" s="10">
        <v>5</v>
      </c>
      <c r="I71" s="10" t="s">
        <v>53</v>
      </c>
      <c r="J71" s="10" t="s">
        <v>40</v>
      </c>
      <c r="K71" s="10" t="s">
        <v>41</v>
      </c>
      <c r="L71" s="10" t="s">
        <v>49</v>
      </c>
      <c r="M71" s="10"/>
      <c r="N71" s="10" t="s">
        <v>191</v>
      </c>
    </row>
    <row r="72" spans="1:14" s="14" customFormat="1" ht="38.1" customHeight="1" x14ac:dyDescent="0.25">
      <c r="A72" s="21" t="s">
        <v>309</v>
      </c>
      <c r="B72" s="21" t="s">
        <v>289</v>
      </c>
      <c r="C72" s="21" t="s">
        <v>310</v>
      </c>
      <c r="D72" s="21" t="s">
        <v>44</v>
      </c>
      <c r="E72" s="21" t="s">
        <v>45</v>
      </c>
      <c r="F72" s="21" t="s">
        <v>46</v>
      </c>
      <c r="G72" s="21">
        <v>5</v>
      </c>
      <c r="H72" s="21">
        <v>5</v>
      </c>
      <c r="I72" s="21" t="s">
        <v>53</v>
      </c>
      <c r="J72" s="21" t="s">
        <v>40</v>
      </c>
      <c r="K72" s="21" t="s">
        <v>41</v>
      </c>
      <c r="L72" s="21" t="s">
        <v>49</v>
      </c>
      <c r="M72" s="21"/>
      <c r="N72" s="21" t="s">
        <v>191</v>
      </c>
    </row>
    <row r="73" spans="1:14" s="14" customFormat="1" ht="38.1" customHeight="1" x14ac:dyDescent="0.25">
      <c r="A73" s="10" t="s">
        <v>311</v>
      </c>
      <c r="B73" s="10" t="s">
        <v>289</v>
      </c>
      <c r="C73" s="10" t="s">
        <v>312</v>
      </c>
      <c r="D73" s="10" t="s">
        <v>52</v>
      </c>
      <c r="E73" s="10" t="s">
        <v>46</v>
      </c>
      <c r="F73" s="10" t="s">
        <v>38</v>
      </c>
      <c r="G73" s="10">
        <v>5</v>
      </c>
      <c r="H73" s="10">
        <v>5</v>
      </c>
      <c r="I73" s="10" t="s">
        <v>53</v>
      </c>
      <c r="J73" s="10" t="s">
        <v>40</v>
      </c>
      <c r="K73" s="10" t="s">
        <v>41</v>
      </c>
      <c r="L73" s="10" t="s">
        <v>49</v>
      </c>
      <c r="M73" s="10"/>
      <c r="N73" s="10" t="s">
        <v>191</v>
      </c>
    </row>
    <row r="74" spans="1:14" s="14" customFormat="1" ht="38.1" customHeight="1" x14ac:dyDescent="0.25">
      <c r="A74" s="21" t="s">
        <v>313</v>
      </c>
      <c r="B74" s="21" t="s">
        <v>289</v>
      </c>
      <c r="C74" s="21" t="s">
        <v>314</v>
      </c>
      <c r="D74" s="21" t="s">
        <v>52</v>
      </c>
      <c r="E74" s="21" t="s">
        <v>45</v>
      </c>
      <c r="F74" s="21" t="s">
        <v>38</v>
      </c>
      <c r="G74" s="21">
        <v>5</v>
      </c>
      <c r="H74" s="21">
        <v>5</v>
      </c>
      <c r="I74" s="21" t="s">
        <v>53</v>
      </c>
      <c r="J74" s="21" t="s">
        <v>40</v>
      </c>
      <c r="K74" s="21" t="s">
        <v>41</v>
      </c>
      <c r="L74" s="21" t="s">
        <v>49</v>
      </c>
      <c r="M74" s="21"/>
      <c r="N74" s="21" t="s">
        <v>191</v>
      </c>
    </row>
    <row r="75" spans="1:14" s="14" customFormat="1" ht="38.1" customHeight="1" x14ac:dyDescent="0.25">
      <c r="A75" s="10" t="s">
        <v>315</v>
      </c>
      <c r="B75" s="10" t="s">
        <v>289</v>
      </c>
      <c r="C75" s="10" t="s">
        <v>316</v>
      </c>
      <c r="D75" s="10" t="s">
        <v>44</v>
      </c>
      <c r="E75" s="10" t="s">
        <v>45</v>
      </c>
      <c r="F75" s="10" t="s">
        <v>38</v>
      </c>
      <c r="G75" s="10">
        <v>5</v>
      </c>
      <c r="H75" s="10">
        <v>5</v>
      </c>
      <c r="I75" s="10" t="s">
        <v>53</v>
      </c>
      <c r="J75" s="10" t="s">
        <v>40</v>
      </c>
      <c r="K75" s="10" t="s">
        <v>41</v>
      </c>
      <c r="L75" s="10" t="s">
        <v>49</v>
      </c>
      <c r="M75" s="10"/>
      <c r="N75" s="10" t="s">
        <v>191</v>
      </c>
    </row>
    <row r="76" spans="1:14" s="14" customFormat="1" ht="50.1" customHeight="1" x14ac:dyDescent="0.25">
      <c r="A76" s="21" t="s">
        <v>317</v>
      </c>
      <c r="B76" s="21" t="s">
        <v>289</v>
      </c>
      <c r="C76" s="21" t="s">
        <v>318</v>
      </c>
      <c r="D76" s="21" t="s">
        <v>44</v>
      </c>
      <c r="E76" s="21" t="s">
        <v>45</v>
      </c>
      <c r="F76" s="21" t="s">
        <v>38</v>
      </c>
      <c r="G76" s="21">
        <v>5</v>
      </c>
      <c r="H76" s="21">
        <v>5</v>
      </c>
      <c r="I76" s="21" t="s">
        <v>53</v>
      </c>
      <c r="J76" s="21" t="s">
        <v>48</v>
      </c>
      <c r="K76" s="21" t="s">
        <v>41</v>
      </c>
      <c r="L76" s="21" t="s">
        <v>49</v>
      </c>
      <c r="M76" s="21"/>
      <c r="N76" s="21" t="s">
        <v>319</v>
      </c>
    </row>
    <row r="77" spans="1:14" s="14" customFormat="1" ht="50.1" customHeight="1" x14ac:dyDescent="0.25">
      <c r="A77" s="10" t="s">
        <v>320</v>
      </c>
      <c r="B77" s="10" t="s">
        <v>289</v>
      </c>
      <c r="C77" s="10" t="s">
        <v>321</v>
      </c>
      <c r="D77" s="10" t="s">
        <v>44</v>
      </c>
      <c r="E77" s="10" t="s">
        <v>45</v>
      </c>
      <c r="F77" s="10" t="s">
        <v>46</v>
      </c>
      <c r="G77" s="10">
        <v>5</v>
      </c>
      <c r="H77" s="10">
        <v>5</v>
      </c>
      <c r="I77" s="10" t="s">
        <v>53</v>
      </c>
      <c r="J77" s="10" t="s">
        <v>48</v>
      </c>
      <c r="K77" s="10" t="s">
        <v>41</v>
      </c>
      <c r="L77" s="10" t="s">
        <v>49</v>
      </c>
      <c r="M77" s="10"/>
      <c r="N77" s="10" t="s">
        <v>322</v>
      </c>
    </row>
    <row r="78" spans="1:14" s="14" customFormat="1" ht="38.1" customHeight="1" x14ac:dyDescent="0.25">
      <c r="A78" s="21" t="s">
        <v>323</v>
      </c>
      <c r="B78" s="21" t="s">
        <v>289</v>
      </c>
      <c r="C78" s="21" t="s">
        <v>324</v>
      </c>
      <c r="D78" s="21" t="s">
        <v>214</v>
      </c>
      <c r="E78" s="21" t="s">
        <v>45</v>
      </c>
      <c r="F78" s="21" t="s">
        <v>46</v>
      </c>
      <c r="G78" s="21">
        <v>5</v>
      </c>
      <c r="H78" s="21">
        <v>5</v>
      </c>
      <c r="I78" s="21" t="s">
        <v>53</v>
      </c>
      <c r="J78" s="21" t="s">
        <v>40</v>
      </c>
      <c r="K78" s="21" t="s">
        <v>41</v>
      </c>
      <c r="L78" s="21" t="s">
        <v>49</v>
      </c>
      <c r="M78" s="21"/>
      <c r="N78" s="21" t="s">
        <v>191</v>
      </c>
    </row>
    <row r="79" spans="1:14" s="14" customFormat="1" ht="38.1" customHeight="1" x14ac:dyDescent="0.25">
      <c r="A79" s="10" t="s">
        <v>325</v>
      </c>
      <c r="B79" s="10" t="s">
        <v>289</v>
      </c>
      <c r="C79" s="10" t="s">
        <v>326</v>
      </c>
      <c r="D79" s="10" t="s">
        <v>162</v>
      </c>
      <c r="E79" s="10" t="s">
        <v>45</v>
      </c>
      <c r="F79" s="10" t="s">
        <v>45</v>
      </c>
      <c r="G79" s="10">
        <v>5</v>
      </c>
      <c r="H79" s="10">
        <v>5</v>
      </c>
      <c r="I79" s="10" t="s">
        <v>53</v>
      </c>
      <c r="J79" s="10" t="s">
        <v>40</v>
      </c>
      <c r="K79" s="10" t="s">
        <v>41</v>
      </c>
      <c r="L79" s="10" t="s">
        <v>49</v>
      </c>
      <c r="M79" s="10"/>
      <c r="N79" s="10" t="s">
        <v>223</v>
      </c>
    </row>
    <row r="80" spans="1:14" s="14" customFormat="1" ht="38.1" customHeight="1" x14ac:dyDescent="0.25">
      <c r="A80" s="21" t="s">
        <v>327</v>
      </c>
      <c r="B80" s="21" t="s">
        <v>328</v>
      </c>
      <c r="C80" s="21" t="s">
        <v>329</v>
      </c>
      <c r="D80" s="21" t="s">
        <v>36</v>
      </c>
      <c r="E80" s="21" t="s">
        <v>45</v>
      </c>
      <c r="F80" s="21" t="s">
        <v>38</v>
      </c>
      <c r="G80" s="21">
        <v>6</v>
      </c>
      <c r="H80" s="21">
        <v>6</v>
      </c>
      <c r="I80" s="21" t="s">
        <v>53</v>
      </c>
      <c r="J80" s="21" t="s">
        <v>40</v>
      </c>
      <c r="K80" s="21" t="s">
        <v>41</v>
      </c>
      <c r="L80" s="21" t="s">
        <v>49</v>
      </c>
      <c r="M80" s="21"/>
      <c r="N80" s="21" t="s">
        <v>191</v>
      </c>
    </row>
    <row r="81" spans="1:14" s="14" customFormat="1" ht="38.1" customHeight="1" x14ac:dyDescent="0.25">
      <c r="A81" s="10" t="s">
        <v>330</v>
      </c>
      <c r="B81" s="10" t="s">
        <v>328</v>
      </c>
      <c r="C81" s="10" t="s">
        <v>331</v>
      </c>
      <c r="D81" s="10" t="s">
        <v>36</v>
      </c>
      <c r="E81" s="10" t="s">
        <v>45</v>
      </c>
      <c r="F81" s="10" t="s">
        <v>38</v>
      </c>
      <c r="G81" s="10">
        <v>6</v>
      </c>
      <c r="H81" s="10">
        <v>6</v>
      </c>
      <c r="I81" s="10" t="s">
        <v>53</v>
      </c>
      <c r="J81" s="10" t="s">
        <v>40</v>
      </c>
      <c r="K81" s="10" t="s">
        <v>41</v>
      </c>
      <c r="L81" s="10" t="s">
        <v>49</v>
      </c>
      <c r="M81" s="10"/>
      <c r="N81" s="10" t="s">
        <v>191</v>
      </c>
    </row>
    <row r="82" spans="1:14" s="14" customFormat="1" ht="38.1" customHeight="1" x14ac:dyDescent="0.25">
      <c r="A82" s="21" t="s">
        <v>332</v>
      </c>
      <c r="B82" s="21" t="s">
        <v>328</v>
      </c>
      <c r="C82" s="21" t="s">
        <v>333</v>
      </c>
      <c r="D82" s="21" t="s">
        <v>36</v>
      </c>
      <c r="E82" s="21" t="s">
        <v>45</v>
      </c>
      <c r="F82" s="21" t="s">
        <v>46</v>
      </c>
      <c r="G82" s="21">
        <v>6</v>
      </c>
      <c r="H82" s="21">
        <v>6</v>
      </c>
      <c r="I82" s="21" t="s">
        <v>53</v>
      </c>
      <c r="J82" s="21" t="s">
        <v>40</v>
      </c>
      <c r="K82" s="21" t="s">
        <v>41</v>
      </c>
      <c r="L82" s="21" t="s">
        <v>49</v>
      </c>
      <c r="M82" s="21"/>
      <c r="N82" s="21" t="s">
        <v>191</v>
      </c>
    </row>
    <row r="83" spans="1:14" s="14" customFormat="1" ht="38.1" customHeight="1" x14ac:dyDescent="0.25">
      <c r="A83" s="10" t="s">
        <v>334</v>
      </c>
      <c r="B83" s="10" t="s">
        <v>328</v>
      </c>
      <c r="C83" s="10" t="s">
        <v>335</v>
      </c>
      <c r="D83" s="10" t="s">
        <v>36</v>
      </c>
      <c r="E83" s="10" t="s">
        <v>45</v>
      </c>
      <c r="F83" s="10" t="s">
        <v>38</v>
      </c>
      <c r="G83" s="10">
        <v>6</v>
      </c>
      <c r="H83" s="10">
        <v>6</v>
      </c>
      <c r="I83" s="10" t="s">
        <v>53</v>
      </c>
      <c r="J83" s="10" t="s">
        <v>40</v>
      </c>
      <c r="K83" s="10" t="s">
        <v>41</v>
      </c>
      <c r="L83" s="10" t="s">
        <v>49</v>
      </c>
      <c r="M83" s="10"/>
      <c r="N83" s="10" t="s">
        <v>191</v>
      </c>
    </row>
    <row r="84" spans="1:14" s="14" customFormat="1" ht="38.1" customHeight="1" x14ac:dyDescent="0.25">
      <c r="A84" s="21" t="s">
        <v>336</v>
      </c>
      <c r="B84" s="21" t="s">
        <v>328</v>
      </c>
      <c r="C84" s="21" t="s">
        <v>337</v>
      </c>
      <c r="D84" s="21" t="s">
        <v>52</v>
      </c>
      <c r="E84" s="21" t="s">
        <v>46</v>
      </c>
      <c r="F84" s="21" t="s">
        <v>38</v>
      </c>
      <c r="G84" s="21">
        <v>6</v>
      </c>
      <c r="H84" s="21">
        <v>6</v>
      </c>
      <c r="I84" s="21" t="s">
        <v>53</v>
      </c>
      <c r="J84" s="21" t="s">
        <v>40</v>
      </c>
      <c r="K84" s="21" t="s">
        <v>41</v>
      </c>
      <c r="L84" s="21" t="s">
        <v>49</v>
      </c>
      <c r="M84" s="21"/>
      <c r="N84" s="21" t="s">
        <v>191</v>
      </c>
    </row>
    <row r="85" spans="1:14" s="14" customFormat="1" ht="38.1" customHeight="1" x14ac:dyDescent="0.25">
      <c r="A85" s="10" t="s">
        <v>338</v>
      </c>
      <c r="B85" s="10" t="s">
        <v>328</v>
      </c>
      <c r="C85" s="10" t="s">
        <v>339</v>
      </c>
      <c r="D85" s="10" t="s">
        <v>44</v>
      </c>
      <c r="E85" s="10" t="s">
        <v>45</v>
      </c>
      <c r="F85" s="10" t="s">
        <v>38</v>
      </c>
      <c r="G85" s="10">
        <v>6</v>
      </c>
      <c r="H85" s="10">
        <v>6</v>
      </c>
      <c r="I85" s="10" t="s">
        <v>53</v>
      </c>
      <c r="J85" s="10" t="s">
        <v>40</v>
      </c>
      <c r="K85" s="10" t="s">
        <v>41</v>
      </c>
      <c r="L85" s="10" t="s">
        <v>49</v>
      </c>
      <c r="M85" s="10"/>
      <c r="N85" s="10" t="s">
        <v>191</v>
      </c>
    </row>
    <row r="86" spans="1:14" s="14" customFormat="1" ht="38.1" customHeight="1" x14ac:dyDescent="0.25">
      <c r="A86" s="21" t="s">
        <v>340</v>
      </c>
      <c r="B86" s="21" t="s">
        <v>328</v>
      </c>
      <c r="C86" s="21" t="s">
        <v>341</v>
      </c>
      <c r="D86" s="21" t="s">
        <v>44</v>
      </c>
      <c r="E86" s="21" t="s">
        <v>45</v>
      </c>
      <c r="F86" s="21" t="s">
        <v>38</v>
      </c>
      <c r="G86" s="21">
        <v>6</v>
      </c>
      <c r="H86" s="21">
        <v>6</v>
      </c>
      <c r="I86" s="21" t="s">
        <v>53</v>
      </c>
      <c r="J86" s="21" t="s">
        <v>40</v>
      </c>
      <c r="K86" s="21" t="s">
        <v>41</v>
      </c>
      <c r="L86" s="21" t="s">
        <v>49</v>
      </c>
      <c r="M86" s="21"/>
      <c r="N86" s="21" t="s">
        <v>191</v>
      </c>
    </row>
    <row r="87" spans="1:14" s="14" customFormat="1" ht="38.1" customHeight="1" x14ac:dyDescent="0.25">
      <c r="A87" s="10" t="s">
        <v>342</v>
      </c>
      <c r="B87" s="10" t="s">
        <v>328</v>
      </c>
      <c r="C87" s="10" t="s">
        <v>343</v>
      </c>
      <c r="D87" s="10" t="s">
        <v>52</v>
      </c>
      <c r="E87" s="10" t="s">
        <v>46</v>
      </c>
      <c r="F87" s="10" t="s">
        <v>38</v>
      </c>
      <c r="G87" s="10">
        <v>6</v>
      </c>
      <c r="H87" s="10">
        <v>6</v>
      </c>
      <c r="I87" s="10" t="s">
        <v>53</v>
      </c>
      <c r="J87" s="10" t="s">
        <v>40</v>
      </c>
      <c r="K87" s="10" t="s">
        <v>41</v>
      </c>
      <c r="L87" s="10" t="s">
        <v>49</v>
      </c>
      <c r="M87" s="10"/>
      <c r="N87" s="10" t="s">
        <v>191</v>
      </c>
    </row>
    <row r="88" spans="1:14" s="14" customFormat="1" ht="38.1" customHeight="1" x14ac:dyDescent="0.25">
      <c r="A88" s="21" t="s">
        <v>344</v>
      </c>
      <c r="B88" s="21" t="s">
        <v>328</v>
      </c>
      <c r="C88" s="21" t="s">
        <v>345</v>
      </c>
      <c r="D88" s="21" t="s">
        <v>44</v>
      </c>
      <c r="E88" s="21" t="s">
        <v>46</v>
      </c>
      <c r="F88" s="21" t="s">
        <v>38</v>
      </c>
      <c r="G88" s="21">
        <v>6</v>
      </c>
      <c r="H88" s="21">
        <v>6</v>
      </c>
      <c r="I88" s="21" t="s">
        <v>53</v>
      </c>
      <c r="J88" s="21" t="s">
        <v>40</v>
      </c>
      <c r="K88" s="21" t="s">
        <v>41</v>
      </c>
      <c r="L88" s="21" t="s">
        <v>49</v>
      </c>
      <c r="M88" s="21"/>
      <c r="N88" s="21" t="s">
        <v>191</v>
      </c>
    </row>
    <row r="89" spans="1:14" s="14" customFormat="1" ht="38.1" customHeight="1" x14ac:dyDescent="0.25">
      <c r="A89" s="10" t="s">
        <v>346</v>
      </c>
      <c r="B89" s="10" t="s">
        <v>328</v>
      </c>
      <c r="C89" s="10" t="s">
        <v>347</v>
      </c>
      <c r="D89" s="10" t="s">
        <v>348</v>
      </c>
      <c r="E89" s="10" t="s">
        <v>45</v>
      </c>
      <c r="F89" s="10" t="s">
        <v>45</v>
      </c>
      <c r="G89" s="10">
        <v>6</v>
      </c>
      <c r="H89" s="10">
        <v>6</v>
      </c>
      <c r="I89" s="10" t="s">
        <v>53</v>
      </c>
      <c r="J89" s="10" t="s">
        <v>40</v>
      </c>
      <c r="K89" s="10" t="s">
        <v>41</v>
      </c>
      <c r="L89" s="10" t="s">
        <v>49</v>
      </c>
      <c r="M89" s="10"/>
      <c r="N89" s="10" t="s">
        <v>349</v>
      </c>
    </row>
    <row r="90" spans="1:14" s="14" customFormat="1" ht="38.1" customHeight="1" x14ac:dyDescent="0.25">
      <c r="A90" s="21" t="s">
        <v>350</v>
      </c>
      <c r="B90" s="21" t="s">
        <v>328</v>
      </c>
      <c r="C90" s="21" t="s">
        <v>351</v>
      </c>
      <c r="D90" s="21" t="s">
        <v>348</v>
      </c>
      <c r="E90" s="21" t="s">
        <v>45</v>
      </c>
      <c r="F90" s="21" t="s">
        <v>45</v>
      </c>
      <c r="G90" s="21">
        <v>6</v>
      </c>
      <c r="H90" s="21">
        <v>6</v>
      </c>
      <c r="I90" s="21" t="s">
        <v>53</v>
      </c>
      <c r="J90" s="21" t="s">
        <v>40</v>
      </c>
      <c r="K90" s="21" t="s">
        <v>41</v>
      </c>
      <c r="L90" s="21" t="s">
        <v>49</v>
      </c>
      <c r="M90" s="21"/>
      <c r="N90" s="21" t="s">
        <v>349</v>
      </c>
    </row>
    <row r="91" spans="1:14" s="14" customFormat="1" ht="50.1" customHeight="1" x14ac:dyDescent="0.25">
      <c r="A91" s="10" t="s">
        <v>352</v>
      </c>
      <c r="B91" s="10" t="s">
        <v>328</v>
      </c>
      <c r="C91" s="10" t="s">
        <v>353</v>
      </c>
      <c r="D91" s="10" t="s">
        <v>348</v>
      </c>
      <c r="E91" s="10" t="s">
        <v>45</v>
      </c>
      <c r="F91" s="10" t="s">
        <v>45</v>
      </c>
      <c r="G91" s="10">
        <v>6</v>
      </c>
      <c r="H91" s="10">
        <v>6</v>
      </c>
      <c r="I91" s="10" t="s">
        <v>53</v>
      </c>
      <c r="J91" s="10" t="s">
        <v>48</v>
      </c>
      <c r="K91" s="10" t="s">
        <v>41</v>
      </c>
      <c r="L91" s="10" t="s">
        <v>49</v>
      </c>
      <c r="M91" s="10"/>
      <c r="N91" s="10" t="s">
        <v>354</v>
      </c>
    </row>
    <row r="92" spans="1:14" s="14" customFormat="1" ht="38.1" customHeight="1" x14ac:dyDescent="0.25">
      <c r="A92" s="21" t="s">
        <v>355</v>
      </c>
      <c r="B92" s="21" t="s">
        <v>328</v>
      </c>
      <c r="C92" s="21" t="s">
        <v>356</v>
      </c>
      <c r="D92" s="21" t="s">
        <v>357</v>
      </c>
      <c r="E92" s="21" t="s">
        <v>45</v>
      </c>
      <c r="F92" s="21" t="s">
        <v>46</v>
      </c>
      <c r="G92" s="21">
        <v>6</v>
      </c>
      <c r="H92" s="21">
        <v>6</v>
      </c>
      <c r="I92" s="21" t="s">
        <v>53</v>
      </c>
      <c r="J92" s="21" t="s">
        <v>40</v>
      </c>
      <c r="K92" s="21" t="s">
        <v>41</v>
      </c>
      <c r="L92" s="21" t="s">
        <v>49</v>
      </c>
      <c r="M92" s="21"/>
      <c r="N92" s="21" t="s">
        <v>191</v>
      </c>
    </row>
    <row r="93" spans="1:14" s="14" customFormat="1" ht="38.1" customHeight="1" x14ac:dyDescent="0.25">
      <c r="A93" s="10" t="s">
        <v>358</v>
      </c>
      <c r="B93" s="10" t="s">
        <v>328</v>
      </c>
      <c r="C93" s="10" t="s">
        <v>359</v>
      </c>
      <c r="D93" s="10" t="s">
        <v>357</v>
      </c>
      <c r="E93" s="10" t="s">
        <v>45</v>
      </c>
      <c r="F93" s="10" t="s">
        <v>46</v>
      </c>
      <c r="G93" s="10">
        <v>6</v>
      </c>
      <c r="H93" s="10">
        <v>6</v>
      </c>
      <c r="I93" s="10" t="s">
        <v>53</v>
      </c>
      <c r="J93" s="10" t="s">
        <v>40</v>
      </c>
      <c r="K93" s="10" t="s">
        <v>41</v>
      </c>
      <c r="L93" s="10" t="s">
        <v>49</v>
      </c>
      <c r="M93" s="10"/>
      <c r="N93" s="10" t="s">
        <v>191</v>
      </c>
    </row>
    <row r="94" spans="1:14" s="14" customFormat="1" ht="38.1" customHeight="1" x14ac:dyDescent="0.25">
      <c r="A94" s="21" t="s">
        <v>360</v>
      </c>
      <c r="B94" s="21" t="s">
        <v>328</v>
      </c>
      <c r="C94" s="21" t="s">
        <v>361</v>
      </c>
      <c r="D94" s="21" t="s">
        <v>357</v>
      </c>
      <c r="E94" s="21" t="s">
        <v>45</v>
      </c>
      <c r="F94" s="21" t="s">
        <v>46</v>
      </c>
      <c r="G94" s="21">
        <v>6</v>
      </c>
      <c r="H94" s="21">
        <v>6</v>
      </c>
      <c r="I94" s="21" t="s">
        <v>53</v>
      </c>
      <c r="J94" s="21" t="s">
        <v>40</v>
      </c>
      <c r="K94" s="21" t="s">
        <v>41</v>
      </c>
      <c r="L94" s="21" t="s">
        <v>49</v>
      </c>
      <c r="M94" s="21"/>
      <c r="N94" s="21" t="s">
        <v>191</v>
      </c>
    </row>
    <row r="95" spans="1:14" s="14" customFormat="1" ht="38.1" customHeight="1" x14ac:dyDescent="0.25">
      <c r="A95" s="10" t="s">
        <v>362</v>
      </c>
      <c r="B95" s="10" t="s">
        <v>70</v>
      </c>
      <c r="C95" s="10" t="s">
        <v>363</v>
      </c>
      <c r="D95" s="10" t="s">
        <v>36</v>
      </c>
      <c r="E95" s="10" t="s">
        <v>45</v>
      </c>
      <c r="F95" s="10" t="s">
        <v>45</v>
      </c>
      <c r="G95" s="10">
        <v>7</v>
      </c>
      <c r="H95" s="10">
        <v>7</v>
      </c>
      <c r="I95" s="10" t="s">
        <v>53</v>
      </c>
      <c r="J95" s="10" t="s">
        <v>40</v>
      </c>
      <c r="K95" s="10" t="s">
        <v>41</v>
      </c>
      <c r="L95" s="10" t="s">
        <v>49</v>
      </c>
      <c r="M95" s="10"/>
      <c r="N95" s="10" t="s">
        <v>191</v>
      </c>
    </row>
    <row r="96" spans="1:14" s="14" customFormat="1" ht="38.1" customHeight="1" x14ac:dyDescent="0.25">
      <c r="A96" s="21" t="s">
        <v>364</v>
      </c>
      <c r="B96" s="21" t="s">
        <v>70</v>
      </c>
      <c r="C96" s="21" t="s">
        <v>365</v>
      </c>
      <c r="D96" s="21" t="s">
        <v>44</v>
      </c>
      <c r="E96" s="21" t="s">
        <v>45</v>
      </c>
      <c r="F96" s="21" t="s">
        <v>46</v>
      </c>
      <c r="G96" s="21">
        <v>7</v>
      </c>
      <c r="H96" s="21">
        <v>7</v>
      </c>
      <c r="I96" s="21" t="s">
        <v>53</v>
      </c>
      <c r="J96" s="21" t="s">
        <v>40</v>
      </c>
      <c r="K96" s="21" t="s">
        <v>41</v>
      </c>
      <c r="L96" s="21" t="s">
        <v>49</v>
      </c>
      <c r="M96" s="21"/>
      <c r="N96" s="21" t="s">
        <v>191</v>
      </c>
    </row>
    <row r="97" spans="1:14" s="14" customFormat="1" ht="38.1" customHeight="1" x14ac:dyDescent="0.25">
      <c r="A97" s="10" t="s">
        <v>366</v>
      </c>
      <c r="B97" s="10" t="s">
        <v>70</v>
      </c>
      <c r="C97" s="10" t="s">
        <v>367</v>
      </c>
      <c r="D97" s="10" t="s">
        <v>52</v>
      </c>
      <c r="E97" s="10" t="s">
        <v>45</v>
      </c>
      <c r="F97" s="10" t="s">
        <v>38</v>
      </c>
      <c r="G97" s="10">
        <v>7</v>
      </c>
      <c r="H97" s="10">
        <v>7</v>
      </c>
      <c r="I97" s="10" t="s">
        <v>53</v>
      </c>
      <c r="J97" s="10" t="s">
        <v>40</v>
      </c>
      <c r="K97" s="10" t="s">
        <v>41</v>
      </c>
      <c r="L97" s="10" t="s">
        <v>49</v>
      </c>
      <c r="M97" s="10"/>
      <c r="N97" s="10" t="s">
        <v>191</v>
      </c>
    </row>
    <row r="98" spans="1:14" s="14" customFormat="1" ht="38.1" customHeight="1" x14ac:dyDescent="0.25">
      <c r="A98" s="21" t="s">
        <v>368</v>
      </c>
      <c r="B98" s="21" t="s">
        <v>70</v>
      </c>
      <c r="C98" s="21" t="s">
        <v>369</v>
      </c>
      <c r="D98" s="21" t="s">
        <v>44</v>
      </c>
      <c r="E98" s="21" t="s">
        <v>45</v>
      </c>
      <c r="F98" s="21" t="s">
        <v>38</v>
      </c>
      <c r="G98" s="21">
        <v>7</v>
      </c>
      <c r="H98" s="21">
        <v>7</v>
      </c>
      <c r="I98" s="21" t="s">
        <v>53</v>
      </c>
      <c r="J98" s="21" t="s">
        <v>40</v>
      </c>
      <c r="K98" s="21" t="s">
        <v>41</v>
      </c>
      <c r="L98" s="21" t="s">
        <v>49</v>
      </c>
      <c r="M98" s="21"/>
      <c r="N98" s="21" t="s">
        <v>191</v>
      </c>
    </row>
    <row r="99" spans="1:14" s="14" customFormat="1" ht="38.1" customHeight="1" x14ac:dyDescent="0.25">
      <c r="A99" s="10" t="s">
        <v>370</v>
      </c>
      <c r="B99" s="10" t="s">
        <v>70</v>
      </c>
      <c r="C99" s="10" t="s">
        <v>371</v>
      </c>
      <c r="D99" s="10" t="s">
        <v>44</v>
      </c>
      <c r="E99" s="10" t="s">
        <v>45</v>
      </c>
      <c r="F99" s="10" t="s">
        <v>38</v>
      </c>
      <c r="G99" s="10">
        <v>7</v>
      </c>
      <c r="H99" s="10">
        <v>7</v>
      </c>
      <c r="I99" s="10" t="s">
        <v>53</v>
      </c>
      <c r="J99" s="10" t="s">
        <v>40</v>
      </c>
      <c r="K99" s="10" t="s">
        <v>41</v>
      </c>
      <c r="L99" s="10" t="s">
        <v>49</v>
      </c>
      <c r="M99" s="10"/>
      <c r="N99" s="10" t="s">
        <v>191</v>
      </c>
    </row>
    <row r="100" spans="1:14" s="14" customFormat="1" ht="38.1" customHeight="1" x14ac:dyDescent="0.25">
      <c r="A100" s="21" t="s">
        <v>372</v>
      </c>
      <c r="B100" s="21" t="s">
        <v>70</v>
      </c>
      <c r="C100" s="21" t="s">
        <v>373</v>
      </c>
      <c r="D100" s="21" t="s">
        <v>44</v>
      </c>
      <c r="E100" s="21" t="s">
        <v>45</v>
      </c>
      <c r="F100" s="21" t="s">
        <v>38</v>
      </c>
      <c r="G100" s="21">
        <v>7</v>
      </c>
      <c r="H100" s="21">
        <v>7</v>
      </c>
      <c r="I100" s="21" t="s">
        <v>53</v>
      </c>
      <c r="J100" s="21" t="s">
        <v>40</v>
      </c>
      <c r="K100" s="21" t="s">
        <v>41</v>
      </c>
      <c r="L100" s="21" t="s">
        <v>49</v>
      </c>
      <c r="M100" s="21"/>
      <c r="N100" s="21" t="s">
        <v>191</v>
      </c>
    </row>
    <row r="101" spans="1:14" s="14" customFormat="1" ht="38.1" customHeight="1" x14ac:dyDescent="0.25">
      <c r="A101" s="10" t="s">
        <v>374</v>
      </c>
      <c r="B101" s="10" t="s">
        <v>70</v>
      </c>
      <c r="C101" s="10" t="s">
        <v>375</v>
      </c>
      <c r="D101" s="10" t="s">
        <v>52</v>
      </c>
      <c r="E101" s="10" t="s">
        <v>46</v>
      </c>
      <c r="F101" s="10" t="s">
        <v>46</v>
      </c>
      <c r="G101" s="10">
        <v>7</v>
      </c>
      <c r="H101" s="10">
        <v>7</v>
      </c>
      <c r="I101" s="10" t="s">
        <v>53</v>
      </c>
      <c r="J101" s="10" t="s">
        <v>40</v>
      </c>
      <c r="K101" s="10" t="s">
        <v>41</v>
      </c>
      <c r="L101" s="10" t="s">
        <v>49</v>
      </c>
      <c r="M101" s="10"/>
      <c r="N101" s="10" t="s">
        <v>191</v>
      </c>
    </row>
    <row r="102" spans="1:14" s="14" customFormat="1" ht="38.1" customHeight="1" x14ac:dyDescent="0.25">
      <c r="A102" s="21" t="s">
        <v>376</v>
      </c>
      <c r="B102" s="21" t="s">
        <v>70</v>
      </c>
      <c r="C102" s="21" t="s">
        <v>377</v>
      </c>
      <c r="D102" s="21" t="s">
        <v>378</v>
      </c>
      <c r="E102" s="21" t="s">
        <v>45</v>
      </c>
      <c r="F102" s="21" t="s">
        <v>46</v>
      </c>
      <c r="G102" s="21">
        <v>7</v>
      </c>
      <c r="H102" s="21">
        <v>7</v>
      </c>
      <c r="I102" s="21" t="s">
        <v>53</v>
      </c>
      <c r="J102" s="21" t="s">
        <v>40</v>
      </c>
      <c r="K102" s="21" t="s">
        <v>41</v>
      </c>
      <c r="L102" s="21" t="s">
        <v>49</v>
      </c>
      <c r="M102" s="21"/>
      <c r="N102" s="21" t="s">
        <v>191</v>
      </c>
    </row>
    <row r="103" spans="1:14" s="14" customFormat="1" ht="38.1" customHeight="1" x14ac:dyDescent="0.25">
      <c r="A103" s="10" t="s">
        <v>379</v>
      </c>
      <c r="B103" s="10" t="s">
        <v>70</v>
      </c>
      <c r="C103" s="10" t="s">
        <v>380</v>
      </c>
      <c r="D103" s="10" t="s">
        <v>378</v>
      </c>
      <c r="E103" s="10" t="s">
        <v>45</v>
      </c>
      <c r="F103" s="10" t="s">
        <v>46</v>
      </c>
      <c r="G103" s="10">
        <v>7</v>
      </c>
      <c r="H103" s="10">
        <v>7</v>
      </c>
      <c r="I103" s="10" t="s">
        <v>53</v>
      </c>
      <c r="J103" s="10" t="s">
        <v>40</v>
      </c>
      <c r="K103" s="10" t="s">
        <v>41</v>
      </c>
      <c r="L103" s="10" t="s">
        <v>49</v>
      </c>
      <c r="M103" s="10"/>
      <c r="N103" s="10" t="s">
        <v>191</v>
      </c>
    </row>
    <row r="104" spans="1:14" s="14" customFormat="1" ht="38.1" customHeight="1" x14ac:dyDescent="0.25">
      <c r="A104" s="21" t="s">
        <v>381</v>
      </c>
      <c r="B104" s="21" t="s">
        <v>70</v>
      </c>
      <c r="C104" s="21" t="s">
        <v>382</v>
      </c>
      <c r="D104" s="21" t="s">
        <v>378</v>
      </c>
      <c r="E104" s="21" t="s">
        <v>45</v>
      </c>
      <c r="F104" s="21" t="s">
        <v>46</v>
      </c>
      <c r="G104" s="21">
        <v>7</v>
      </c>
      <c r="H104" s="21">
        <v>7</v>
      </c>
      <c r="I104" s="21" t="s">
        <v>53</v>
      </c>
      <c r="J104" s="21" t="s">
        <v>40</v>
      </c>
      <c r="K104" s="21" t="s">
        <v>41</v>
      </c>
      <c r="L104" s="21" t="s">
        <v>49</v>
      </c>
      <c r="M104" s="21"/>
      <c r="N104" s="21" t="s">
        <v>191</v>
      </c>
    </row>
    <row r="105" spans="1:14" s="14" customFormat="1" ht="38.1" customHeight="1" x14ac:dyDescent="0.25">
      <c r="A105" s="10" t="s">
        <v>383</v>
      </c>
      <c r="B105" s="10" t="s">
        <v>70</v>
      </c>
      <c r="C105" s="10" t="s">
        <v>384</v>
      </c>
      <c r="D105" s="10" t="s">
        <v>378</v>
      </c>
      <c r="E105" s="10" t="s">
        <v>45</v>
      </c>
      <c r="F105" s="10" t="s">
        <v>46</v>
      </c>
      <c r="G105" s="10">
        <v>7</v>
      </c>
      <c r="H105" s="10">
        <v>7</v>
      </c>
      <c r="I105" s="10" t="s">
        <v>53</v>
      </c>
      <c r="J105" s="10" t="s">
        <v>40</v>
      </c>
      <c r="K105" s="10" t="s">
        <v>41</v>
      </c>
      <c r="L105" s="10" t="s">
        <v>49</v>
      </c>
      <c r="M105" s="10"/>
      <c r="N105" s="10" t="s">
        <v>191</v>
      </c>
    </row>
    <row r="106" spans="1:14" s="14" customFormat="1" ht="38.1" customHeight="1" x14ac:dyDescent="0.25">
      <c r="A106" s="21" t="s">
        <v>385</v>
      </c>
      <c r="B106" s="21" t="s">
        <v>70</v>
      </c>
      <c r="C106" s="21" t="s">
        <v>386</v>
      </c>
      <c r="D106" s="21" t="s">
        <v>378</v>
      </c>
      <c r="E106" s="21" t="s">
        <v>45</v>
      </c>
      <c r="F106" s="21" t="s">
        <v>46</v>
      </c>
      <c r="G106" s="21">
        <v>7</v>
      </c>
      <c r="H106" s="21">
        <v>7</v>
      </c>
      <c r="I106" s="21" t="s">
        <v>53</v>
      </c>
      <c r="J106" s="21" t="s">
        <v>40</v>
      </c>
      <c r="K106" s="21" t="s">
        <v>41</v>
      </c>
      <c r="L106" s="21" t="s">
        <v>49</v>
      </c>
      <c r="M106" s="21"/>
      <c r="N106" s="21" t="s">
        <v>191</v>
      </c>
    </row>
    <row r="107" spans="1:14" s="14" customFormat="1" ht="38.1" customHeight="1" x14ac:dyDescent="0.25">
      <c r="A107" s="10" t="s">
        <v>387</v>
      </c>
      <c r="B107" s="10" t="s">
        <v>70</v>
      </c>
      <c r="C107" s="10" t="s">
        <v>388</v>
      </c>
      <c r="D107" s="10" t="s">
        <v>214</v>
      </c>
      <c r="E107" s="10" t="s">
        <v>45</v>
      </c>
      <c r="F107" s="10" t="s">
        <v>46</v>
      </c>
      <c r="G107" s="10">
        <v>7</v>
      </c>
      <c r="H107" s="10">
        <v>7</v>
      </c>
      <c r="I107" s="10" t="s">
        <v>53</v>
      </c>
      <c r="J107" s="10" t="s">
        <v>40</v>
      </c>
      <c r="K107" s="10" t="s">
        <v>41</v>
      </c>
      <c r="L107" s="10" t="s">
        <v>49</v>
      </c>
      <c r="M107" s="10"/>
      <c r="N107" s="10" t="s">
        <v>191</v>
      </c>
    </row>
    <row r="108" spans="1:14" s="14" customFormat="1" ht="38.1" customHeight="1" x14ac:dyDescent="0.25">
      <c r="A108" s="21" t="s">
        <v>389</v>
      </c>
      <c r="B108" s="21" t="s">
        <v>70</v>
      </c>
      <c r="C108" s="21" t="s">
        <v>390</v>
      </c>
      <c r="D108" s="21" t="s">
        <v>214</v>
      </c>
      <c r="E108" s="21" t="s">
        <v>45</v>
      </c>
      <c r="F108" s="21" t="s">
        <v>46</v>
      </c>
      <c r="G108" s="21">
        <v>7</v>
      </c>
      <c r="H108" s="21">
        <v>7</v>
      </c>
      <c r="I108" s="21" t="s">
        <v>53</v>
      </c>
      <c r="J108" s="21" t="s">
        <v>40</v>
      </c>
      <c r="K108" s="21" t="s">
        <v>41</v>
      </c>
      <c r="L108" s="21" t="s">
        <v>49</v>
      </c>
      <c r="M108" s="21"/>
      <c r="N108" s="21" t="s">
        <v>191</v>
      </c>
    </row>
    <row r="109" spans="1:14" s="14" customFormat="1" ht="38.1" customHeight="1" x14ac:dyDescent="0.25">
      <c r="A109" s="10" t="s">
        <v>391</v>
      </c>
      <c r="B109" s="10" t="s">
        <v>70</v>
      </c>
      <c r="C109" s="10" t="s">
        <v>392</v>
      </c>
      <c r="D109" s="10" t="s">
        <v>162</v>
      </c>
      <c r="E109" s="10" t="s">
        <v>45</v>
      </c>
      <c r="F109" s="10" t="s">
        <v>45</v>
      </c>
      <c r="G109" s="10">
        <v>7</v>
      </c>
      <c r="H109" s="10">
        <v>7</v>
      </c>
      <c r="I109" s="10" t="s">
        <v>53</v>
      </c>
      <c r="J109" s="10" t="s">
        <v>40</v>
      </c>
      <c r="K109" s="10" t="s">
        <v>41</v>
      </c>
      <c r="L109" s="10" t="s">
        <v>49</v>
      </c>
      <c r="M109" s="10"/>
      <c r="N109" s="10" t="s">
        <v>393</v>
      </c>
    </row>
    <row r="110" spans="1:14" s="14" customFormat="1" ht="38.1" customHeight="1" x14ac:dyDescent="0.25">
      <c r="A110" s="21" t="s">
        <v>394</v>
      </c>
      <c r="B110" s="21" t="s">
        <v>210</v>
      </c>
      <c r="C110" s="21" t="s">
        <v>395</v>
      </c>
      <c r="D110" s="21" t="s">
        <v>36</v>
      </c>
      <c r="E110" s="21" t="s">
        <v>45</v>
      </c>
      <c r="F110" s="21" t="s">
        <v>46</v>
      </c>
      <c r="G110" s="21">
        <v>8</v>
      </c>
      <c r="H110" s="21">
        <v>8</v>
      </c>
      <c r="I110" s="21" t="s">
        <v>53</v>
      </c>
      <c r="J110" s="21" t="s">
        <v>40</v>
      </c>
      <c r="K110" s="21" t="s">
        <v>41</v>
      </c>
      <c r="L110" s="21" t="s">
        <v>49</v>
      </c>
      <c r="M110" s="21"/>
      <c r="N110" s="21" t="s">
        <v>396</v>
      </c>
    </row>
    <row r="111" spans="1:14" s="14" customFormat="1" ht="38.1" customHeight="1" x14ac:dyDescent="0.25">
      <c r="A111" s="10" t="s">
        <v>397</v>
      </c>
      <c r="B111" s="10" t="s">
        <v>210</v>
      </c>
      <c r="C111" s="10" t="s">
        <v>398</v>
      </c>
      <c r="D111" s="10" t="s">
        <v>36</v>
      </c>
      <c r="E111" s="10" t="s">
        <v>45</v>
      </c>
      <c r="F111" s="10" t="s">
        <v>38</v>
      </c>
      <c r="G111" s="10">
        <v>8</v>
      </c>
      <c r="H111" s="10">
        <v>8</v>
      </c>
      <c r="I111" s="10" t="s">
        <v>53</v>
      </c>
      <c r="J111" s="10" t="s">
        <v>40</v>
      </c>
      <c r="K111" s="10" t="s">
        <v>41</v>
      </c>
      <c r="L111" s="10" t="s">
        <v>49</v>
      </c>
      <c r="M111" s="10"/>
      <c r="N111" s="10" t="s">
        <v>396</v>
      </c>
    </row>
    <row r="112" spans="1:14" s="14" customFormat="1" ht="38.1" customHeight="1" x14ac:dyDescent="0.25">
      <c r="A112" s="21" t="s">
        <v>399</v>
      </c>
      <c r="B112" s="21" t="s">
        <v>210</v>
      </c>
      <c r="C112" s="21" t="s">
        <v>400</v>
      </c>
      <c r="D112" s="21" t="s">
        <v>36</v>
      </c>
      <c r="E112" s="21" t="s">
        <v>45</v>
      </c>
      <c r="F112" s="21" t="s">
        <v>46</v>
      </c>
      <c r="G112" s="21">
        <v>8</v>
      </c>
      <c r="H112" s="21">
        <v>8</v>
      </c>
      <c r="I112" s="21" t="s">
        <v>53</v>
      </c>
      <c r="J112" s="21" t="s">
        <v>40</v>
      </c>
      <c r="K112" s="21" t="s">
        <v>41</v>
      </c>
      <c r="L112" s="21" t="s">
        <v>49</v>
      </c>
      <c r="M112" s="21"/>
      <c r="N112" s="21" t="s">
        <v>396</v>
      </c>
    </row>
    <row r="113" spans="1:14" s="14" customFormat="1" ht="38.1" customHeight="1" x14ac:dyDescent="0.25">
      <c r="A113" s="10" t="s">
        <v>401</v>
      </c>
      <c r="B113" s="10" t="s">
        <v>210</v>
      </c>
      <c r="C113" s="10" t="s">
        <v>402</v>
      </c>
      <c r="D113" s="10" t="s">
        <v>36</v>
      </c>
      <c r="E113" s="10" t="s">
        <v>45</v>
      </c>
      <c r="F113" s="10" t="s">
        <v>46</v>
      </c>
      <c r="G113" s="10">
        <v>8</v>
      </c>
      <c r="H113" s="10">
        <v>8</v>
      </c>
      <c r="I113" s="10" t="s">
        <v>53</v>
      </c>
      <c r="J113" s="10" t="s">
        <v>40</v>
      </c>
      <c r="K113" s="10" t="s">
        <v>41</v>
      </c>
      <c r="L113" s="10" t="s">
        <v>49</v>
      </c>
      <c r="M113" s="10"/>
      <c r="N113" s="10" t="s">
        <v>396</v>
      </c>
    </row>
    <row r="114" spans="1:14" s="14" customFormat="1" ht="38.1" customHeight="1" x14ac:dyDescent="0.25">
      <c r="A114" s="21" t="s">
        <v>403</v>
      </c>
      <c r="B114" s="21" t="s">
        <v>210</v>
      </c>
      <c r="C114" s="21" t="s">
        <v>404</v>
      </c>
      <c r="D114" s="21" t="s">
        <v>36</v>
      </c>
      <c r="E114" s="21" t="s">
        <v>45</v>
      </c>
      <c r="F114" s="21" t="s">
        <v>38</v>
      </c>
      <c r="G114" s="21">
        <v>8</v>
      </c>
      <c r="H114" s="21">
        <v>8</v>
      </c>
      <c r="I114" s="21" t="s">
        <v>53</v>
      </c>
      <c r="J114" s="21" t="s">
        <v>40</v>
      </c>
      <c r="K114" s="21" t="s">
        <v>41</v>
      </c>
      <c r="L114" s="21" t="s">
        <v>49</v>
      </c>
      <c r="M114" s="21"/>
      <c r="N114" s="21" t="s">
        <v>396</v>
      </c>
    </row>
    <row r="115" spans="1:14" s="14" customFormat="1" ht="38.1" customHeight="1" x14ac:dyDescent="0.25">
      <c r="A115" s="10" t="s">
        <v>405</v>
      </c>
      <c r="B115" s="10" t="s">
        <v>210</v>
      </c>
      <c r="C115" s="10" t="s">
        <v>406</v>
      </c>
      <c r="D115" s="10" t="s">
        <v>36</v>
      </c>
      <c r="E115" s="10" t="s">
        <v>45</v>
      </c>
      <c r="F115" s="10" t="s">
        <v>46</v>
      </c>
      <c r="G115" s="10">
        <v>8</v>
      </c>
      <c r="H115" s="10">
        <v>8</v>
      </c>
      <c r="I115" s="10" t="s">
        <v>53</v>
      </c>
      <c r="J115" s="10" t="s">
        <v>40</v>
      </c>
      <c r="K115" s="10" t="s">
        <v>41</v>
      </c>
      <c r="L115" s="10" t="s">
        <v>49</v>
      </c>
      <c r="M115" s="10"/>
      <c r="N115" s="10" t="s">
        <v>396</v>
      </c>
    </row>
    <row r="116" spans="1:14" s="14" customFormat="1" ht="38.1" customHeight="1" x14ac:dyDescent="0.25">
      <c r="A116" s="21" t="s">
        <v>407</v>
      </c>
      <c r="B116" s="21" t="s">
        <v>210</v>
      </c>
      <c r="C116" s="21" t="s">
        <v>408</v>
      </c>
      <c r="D116" s="21" t="s">
        <v>36</v>
      </c>
      <c r="E116" s="21" t="s">
        <v>45</v>
      </c>
      <c r="F116" s="21" t="s">
        <v>38</v>
      </c>
      <c r="G116" s="21">
        <v>8</v>
      </c>
      <c r="H116" s="21">
        <v>8</v>
      </c>
      <c r="I116" s="21" t="s">
        <v>53</v>
      </c>
      <c r="J116" s="21" t="s">
        <v>40</v>
      </c>
      <c r="K116" s="21" t="s">
        <v>41</v>
      </c>
      <c r="L116" s="21" t="s">
        <v>49</v>
      </c>
      <c r="M116" s="21"/>
      <c r="N116" s="21" t="s">
        <v>396</v>
      </c>
    </row>
    <row r="117" spans="1:14" s="14" customFormat="1" ht="38.1" customHeight="1" x14ac:dyDescent="0.25">
      <c r="A117" s="10" t="s">
        <v>409</v>
      </c>
      <c r="B117" s="10" t="s">
        <v>210</v>
      </c>
      <c r="C117" s="10" t="s">
        <v>410</v>
      </c>
      <c r="D117" s="10" t="s">
        <v>36</v>
      </c>
      <c r="E117" s="10" t="s">
        <v>45</v>
      </c>
      <c r="F117" s="10" t="s">
        <v>46</v>
      </c>
      <c r="G117" s="10">
        <v>8</v>
      </c>
      <c r="H117" s="10">
        <v>8</v>
      </c>
      <c r="I117" s="10" t="s">
        <v>53</v>
      </c>
      <c r="J117" s="10" t="s">
        <v>40</v>
      </c>
      <c r="K117" s="10" t="s">
        <v>41</v>
      </c>
      <c r="L117" s="10" t="s">
        <v>49</v>
      </c>
      <c r="M117" s="10"/>
      <c r="N117" s="10" t="s">
        <v>396</v>
      </c>
    </row>
    <row r="118" spans="1:14" s="14" customFormat="1" ht="38.1" customHeight="1" x14ac:dyDescent="0.25">
      <c r="A118" s="21" t="s">
        <v>411</v>
      </c>
      <c r="B118" s="21" t="s">
        <v>210</v>
      </c>
      <c r="C118" s="21" t="s">
        <v>412</v>
      </c>
      <c r="D118" s="21" t="s">
        <v>36</v>
      </c>
      <c r="E118" s="21" t="s">
        <v>45</v>
      </c>
      <c r="F118" s="21" t="s">
        <v>46</v>
      </c>
      <c r="G118" s="21">
        <v>8</v>
      </c>
      <c r="H118" s="21">
        <v>8</v>
      </c>
      <c r="I118" s="21" t="s">
        <v>53</v>
      </c>
      <c r="J118" s="21" t="s">
        <v>40</v>
      </c>
      <c r="K118" s="21" t="s">
        <v>41</v>
      </c>
      <c r="L118" s="21" t="s">
        <v>49</v>
      </c>
      <c r="M118" s="21"/>
      <c r="N118" s="21" t="s">
        <v>396</v>
      </c>
    </row>
    <row r="119" spans="1:14" s="14" customFormat="1" ht="38.1" customHeight="1" x14ac:dyDescent="0.25">
      <c r="A119" s="10" t="s">
        <v>413</v>
      </c>
      <c r="B119" s="10" t="s">
        <v>210</v>
      </c>
      <c r="C119" s="10" t="s">
        <v>414</v>
      </c>
      <c r="D119" s="10" t="s">
        <v>44</v>
      </c>
      <c r="E119" s="10" t="s">
        <v>45</v>
      </c>
      <c r="F119" s="10" t="s">
        <v>38</v>
      </c>
      <c r="G119" s="10">
        <v>8</v>
      </c>
      <c r="H119" s="10">
        <v>8</v>
      </c>
      <c r="I119" s="10" t="s">
        <v>53</v>
      </c>
      <c r="J119" s="10" t="s">
        <v>40</v>
      </c>
      <c r="K119" s="10" t="s">
        <v>41</v>
      </c>
      <c r="L119" s="10" t="s">
        <v>49</v>
      </c>
      <c r="M119" s="10"/>
      <c r="N119" s="10" t="s">
        <v>396</v>
      </c>
    </row>
    <row r="120" spans="1:14" s="14" customFormat="1" ht="38.1" customHeight="1" x14ac:dyDescent="0.25">
      <c r="A120" s="21" t="s">
        <v>415</v>
      </c>
      <c r="B120" s="21" t="s">
        <v>210</v>
      </c>
      <c r="C120" s="21" t="s">
        <v>416</v>
      </c>
      <c r="D120" s="21" t="s">
        <v>44</v>
      </c>
      <c r="E120" s="21" t="s">
        <v>45</v>
      </c>
      <c r="F120" s="21" t="s">
        <v>38</v>
      </c>
      <c r="G120" s="21">
        <v>8</v>
      </c>
      <c r="H120" s="21">
        <v>8</v>
      </c>
      <c r="I120" s="21" t="s">
        <v>53</v>
      </c>
      <c r="J120" s="21" t="s">
        <v>40</v>
      </c>
      <c r="K120" s="21" t="s">
        <v>41</v>
      </c>
      <c r="L120" s="21" t="s">
        <v>49</v>
      </c>
      <c r="M120" s="21"/>
      <c r="N120" s="21" t="s">
        <v>396</v>
      </c>
    </row>
    <row r="121" spans="1:14" s="14" customFormat="1" ht="38.1" customHeight="1" x14ac:dyDescent="0.25">
      <c r="A121" s="10" t="s">
        <v>417</v>
      </c>
      <c r="B121" s="10" t="s">
        <v>210</v>
      </c>
      <c r="C121" s="10" t="s">
        <v>418</v>
      </c>
      <c r="D121" s="10" t="s">
        <v>44</v>
      </c>
      <c r="E121" s="10" t="s">
        <v>45</v>
      </c>
      <c r="F121" s="10" t="s">
        <v>38</v>
      </c>
      <c r="G121" s="10">
        <v>8</v>
      </c>
      <c r="H121" s="10">
        <v>8</v>
      </c>
      <c r="I121" s="10" t="s">
        <v>53</v>
      </c>
      <c r="J121" s="10" t="s">
        <v>40</v>
      </c>
      <c r="K121" s="10" t="s">
        <v>41</v>
      </c>
      <c r="L121" s="10" t="s">
        <v>49</v>
      </c>
      <c r="M121" s="10"/>
      <c r="N121" s="10" t="s">
        <v>396</v>
      </c>
    </row>
    <row r="122" spans="1:14" s="14" customFormat="1" ht="38.1" customHeight="1" x14ac:dyDescent="0.25">
      <c r="A122" s="21" t="s">
        <v>419</v>
      </c>
      <c r="B122" s="21" t="s">
        <v>210</v>
      </c>
      <c r="C122" s="21" t="s">
        <v>420</v>
      </c>
      <c r="D122" s="21" t="s">
        <v>44</v>
      </c>
      <c r="E122" s="21" t="s">
        <v>45</v>
      </c>
      <c r="F122" s="21" t="s">
        <v>38</v>
      </c>
      <c r="G122" s="21">
        <v>8</v>
      </c>
      <c r="H122" s="21">
        <v>8</v>
      </c>
      <c r="I122" s="21" t="s">
        <v>53</v>
      </c>
      <c r="J122" s="21" t="s">
        <v>40</v>
      </c>
      <c r="K122" s="21" t="s">
        <v>41</v>
      </c>
      <c r="L122" s="21" t="s">
        <v>49</v>
      </c>
      <c r="M122" s="21"/>
      <c r="N122" s="21" t="s">
        <v>396</v>
      </c>
    </row>
    <row r="123" spans="1:14" s="14" customFormat="1" ht="38.1" customHeight="1" x14ac:dyDescent="0.25">
      <c r="A123" s="10" t="s">
        <v>421</v>
      </c>
      <c r="B123" s="10" t="s">
        <v>210</v>
      </c>
      <c r="C123" s="10" t="s">
        <v>422</v>
      </c>
      <c r="D123" s="10" t="s">
        <v>44</v>
      </c>
      <c r="E123" s="10" t="s">
        <v>45</v>
      </c>
      <c r="F123" s="10" t="s">
        <v>38</v>
      </c>
      <c r="G123" s="10">
        <v>8</v>
      </c>
      <c r="H123" s="10">
        <v>8</v>
      </c>
      <c r="I123" s="10" t="s">
        <v>53</v>
      </c>
      <c r="J123" s="10" t="s">
        <v>40</v>
      </c>
      <c r="K123" s="10" t="s">
        <v>41</v>
      </c>
      <c r="L123" s="10" t="s">
        <v>49</v>
      </c>
      <c r="M123" s="10"/>
      <c r="N123" s="10" t="s">
        <v>396</v>
      </c>
    </row>
    <row r="124" spans="1:14" s="14" customFormat="1" ht="38.1" customHeight="1" x14ac:dyDescent="0.25">
      <c r="A124" s="21" t="s">
        <v>423</v>
      </c>
      <c r="B124" s="21" t="s">
        <v>210</v>
      </c>
      <c r="C124" s="21" t="s">
        <v>424</v>
      </c>
      <c r="D124" s="21" t="s">
        <v>44</v>
      </c>
      <c r="E124" s="21" t="s">
        <v>45</v>
      </c>
      <c r="F124" s="21" t="s">
        <v>46</v>
      </c>
      <c r="G124" s="21">
        <v>8</v>
      </c>
      <c r="H124" s="21">
        <v>8</v>
      </c>
      <c r="I124" s="21" t="s">
        <v>53</v>
      </c>
      <c r="J124" s="21" t="s">
        <v>40</v>
      </c>
      <c r="K124" s="21" t="s">
        <v>41</v>
      </c>
      <c r="L124" s="21" t="s">
        <v>49</v>
      </c>
      <c r="M124" s="21"/>
      <c r="N124" s="21" t="s">
        <v>396</v>
      </c>
    </row>
    <row r="125" spans="1:14" s="14" customFormat="1" ht="38.1" customHeight="1" x14ac:dyDescent="0.25">
      <c r="A125" s="10" t="s">
        <v>425</v>
      </c>
      <c r="B125" s="10" t="s">
        <v>210</v>
      </c>
      <c r="C125" s="10" t="s">
        <v>426</v>
      </c>
      <c r="D125" s="10" t="s">
        <v>427</v>
      </c>
      <c r="E125" s="10" t="s">
        <v>45</v>
      </c>
      <c r="F125" s="10" t="s">
        <v>46</v>
      </c>
      <c r="G125" s="10">
        <v>8</v>
      </c>
      <c r="H125" s="10">
        <v>8</v>
      </c>
      <c r="I125" s="10" t="s">
        <v>53</v>
      </c>
      <c r="J125" s="10" t="s">
        <v>40</v>
      </c>
      <c r="K125" s="10" t="s">
        <v>41</v>
      </c>
      <c r="L125" s="10" t="s">
        <v>49</v>
      </c>
      <c r="M125" s="10"/>
      <c r="N125" s="10" t="s">
        <v>396</v>
      </c>
    </row>
    <row r="126" spans="1:14" s="14" customFormat="1" ht="38.1" customHeight="1" x14ac:dyDescent="0.25">
      <c r="A126" s="21" t="s">
        <v>428</v>
      </c>
      <c r="B126" s="21" t="s">
        <v>210</v>
      </c>
      <c r="C126" s="21" t="s">
        <v>429</v>
      </c>
      <c r="D126" s="21" t="s">
        <v>427</v>
      </c>
      <c r="E126" s="21" t="s">
        <v>45</v>
      </c>
      <c r="F126" s="21" t="s">
        <v>46</v>
      </c>
      <c r="G126" s="21">
        <v>8</v>
      </c>
      <c r="H126" s="21">
        <v>8</v>
      </c>
      <c r="I126" s="21" t="s">
        <v>53</v>
      </c>
      <c r="J126" s="21" t="s">
        <v>40</v>
      </c>
      <c r="K126" s="21" t="s">
        <v>41</v>
      </c>
      <c r="L126" s="21" t="s">
        <v>49</v>
      </c>
      <c r="M126" s="21"/>
      <c r="N126" s="21" t="s">
        <v>396</v>
      </c>
    </row>
    <row r="127" spans="1:14" s="14" customFormat="1" ht="38.1" customHeight="1" x14ac:dyDescent="0.25">
      <c r="A127" s="10" t="s">
        <v>430</v>
      </c>
      <c r="B127" s="10" t="s">
        <v>210</v>
      </c>
      <c r="C127" s="10" t="s">
        <v>431</v>
      </c>
      <c r="D127" s="10" t="s">
        <v>427</v>
      </c>
      <c r="E127" s="10" t="s">
        <v>45</v>
      </c>
      <c r="F127" s="10" t="s">
        <v>46</v>
      </c>
      <c r="G127" s="10">
        <v>8</v>
      </c>
      <c r="H127" s="10">
        <v>8</v>
      </c>
      <c r="I127" s="10" t="s">
        <v>53</v>
      </c>
      <c r="J127" s="10" t="s">
        <v>40</v>
      </c>
      <c r="K127" s="10" t="s">
        <v>41</v>
      </c>
      <c r="L127" s="10" t="s">
        <v>49</v>
      </c>
      <c r="M127" s="10"/>
      <c r="N127" s="10" t="s">
        <v>396</v>
      </c>
    </row>
    <row r="128" spans="1:14" s="14" customFormat="1" ht="38.1" customHeight="1" x14ac:dyDescent="0.25">
      <c r="A128" s="21" t="s">
        <v>432</v>
      </c>
      <c r="B128" s="21" t="s">
        <v>210</v>
      </c>
      <c r="C128" s="21" t="s">
        <v>433</v>
      </c>
      <c r="D128" s="21" t="s">
        <v>434</v>
      </c>
      <c r="E128" s="21" t="s">
        <v>45</v>
      </c>
      <c r="F128" s="21" t="s">
        <v>46</v>
      </c>
      <c r="G128" s="21">
        <v>8</v>
      </c>
      <c r="H128" s="21">
        <v>8</v>
      </c>
      <c r="I128" s="21" t="s">
        <v>53</v>
      </c>
      <c r="J128" s="21" t="s">
        <v>40</v>
      </c>
      <c r="K128" s="21" t="s">
        <v>41</v>
      </c>
      <c r="L128" s="21" t="s">
        <v>49</v>
      </c>
      <c r="M128" s="21"/>
      <c r="N128" s="21" t="s">
        <v>396</v>
      </c>
    </row>
    <row r="129" spans="1:14" s="14" customFormat="1" ht="38.1" customHeight="1" x14ac:dyDescent="0.25">
      <c r="A129" s="10" t="s">
        <v>435</v>
      </c>
      <c r="B129" s="10" t="s">
        <v>210</v>
      </c>
      <c r="C129" s="10" t="s">
        <v>436</v>
      </c>
      <c r="D129" s="10" t="s">
        <v>434</v>
      </c>
      <c r="E129" s="10" t="s">
        <v>45</v>
      </c>
      <c r="F129" s="10" t="s">
        <v>46</v>
      </c>
      <c r="G129" s="10">
        <v>8</v>
      </c>
      <c r="H129" s="10">
        <v>8</v>
      </c>
      <c r="I129" s="10" t="s">
        <v>53</v>
      </c>
      <c r="J129" s="10" t="s">
        <v>40</v>
      </c>
      <c r="K129" s="10" t="s">
        <v>41</v>
      </c>
      <c r="L129" s="10" t="s">
        <v>49</v>
      </c>
      <c r="M129" s="10"/>
      <c r="N129" s="10" t="s">
        <v>396</v>
      </c>
    </row>
    <row r="130" spans="1:14" s="14" customFormat="1" ht="38.1" customHeight="1" x14ac:dyDescent="0.25">
      <c r="A130" s="21" t="s">
        <v>437</v>
      </c>
      <c r="B130" s="21" t="s">
        <v>210</v>
      </c>
      <c r="C130" s="21" t="s">
        <v>438</v>
      </c>
      <c r="D130" s="21" t="s">
        <v>434</v>
      </c>
      <c r="E130" s="21" t="s">
        <v>45</v>
      </c>
      <c r="F130" s="21" t="s">
        <v>46</v>
      </c>
      <c r="G130" s="21">
        <v>8</v>
      </c>
      <c r="H130" s="21">
        <v>8</v>
      </c>
      <c r="I130" s="21" t="s">
        <v>53</v>
      </c>
      <c r="J130" s="21" t="s">
        <v>40</v>
      </c>
      <c r="K130" s="21" t="s">
        <v>41</v>
      </c>
      <c r="L130" s="21" t="s">
        <v>49</v>
      </c>
      <c r="M130" s="21"/>
      <c r="N130" s="21" t="s">
        <v>396</v>
      </c>
    </row>
    <row r="131" spans="1:14" s="14" customFormat="1" ht="38.1" customHeight="1" x14ac:dyDescent="0.25">
      <c r="A131" s="10" t="s">
        <v>439</v>
      </c>
      <c r="B131" s="10" t="s">
        <v>210</v>
      </c>
      <c r="C131" s="10" t="s">
        <v>440</v>
      </c>
      <c r="D131" s="10" t="s">
        <v>162</v>
      </c>
      <c r="E131" s="10" t="s">
        <v>45</v>
      </c>
      <c r="F131" s="10" t="s">
        <v>45</v>
      </c>
      <c r="G131" s="10">
        <v>8</v>
      </c>
      <c r="H131" s="10">
        <v>8</v>
      </c>
      <c r="I131" s="10" t="s">
        <v>53</v>
      </c>
      <c r="J131" s="10" t="s">
        <v>40</v>
      </c>
      <c r="K131" s="10" t="s">
        <v>41</v>
      </c>
      <c r="L131" s="10" t="s">
        <v>49</v>
      </c>
      <c r="M131" s="10"/>
      <c r="N131" s="10" t="s">
        <v>441</v>
      </c>
    </row>
    <row r="132" spans="1:14" s="14" customFormat="1" ht="38.1" customHeight="1" x14ac:dyDescent="0.25">
      <c r="A132" s="21" t="s">
        <v>442</v>
      </c>
      <c r="B132" s="21" t="s">
        <v>443</v>
      </c>
      <c r="C132" s="21" t="s">
        <v>444</v>
      </c>
      <c r="D132" s="21" t="s">
        <v>445</v>
      </c>
      <c r="E132" s="21" t="s">
        <v>45</v>
      </c>
      <c r="F132" s="21" t="s">
        <v>46</v>
      </c>
      <c r="G132" s="21">
        <v>9</v>
      </c>
      <c r="H132" s="21">
        <v>9</v>
      </c>
      <c r="I132" s="21" t="s">
        <v>53</v>
      </c>
      <c r="J132" s="21" t="s">
        <v>40</v>
      </c>
      <c r="K132" s="21" t="s">
        <v>41</v>
      </c>
      <c r="L132" s="21" t="s">
        <v>49</v>
      </c>
      <c r="M132" s="21"/>
      <c r="N132" s="21" t="s">
        <v>191</v>
      </c>
    </row>
    <row r="133" spans="1:14" s="14" customFormat="1" ht="38.1" customHeight="1" x14ac:dyDescent="0.25">
      <c r="A133" s="10" t="s">
        <v>446</v>
      </c>
      <c r="B133" s="10" t="s">
        <v>443</v>
      </c>
      <c r="C133" s="10" t="s">
        <v>447</v>
      </c>
      <c r="D133" s="10" t="s">
        <v>445</v>
      </c>
      <c r="E133" s="10" t="s">
        <v>45</v>
      </c>
      <c r="F133" s="10" t="s">
        <v>46</v>
      </c>
      <c r="G133" s="10">
        <v>9</v>
      </c>
      <c r="H133" s="10">
        <v>9</v>
      </c>
      <c r="I133" s="10" t="s">
        <v>53</v>
      </c>
      <c r="J133" s="10" t="s">
        <v>40</v>
      </c>
      <c r="K133" s="10" t="s">
        <v>41</v>
      </c>
      <c r="L133" s="10" t="s">
        <v>49</v>
      </c>
      <c r="M133" s="10"/>
      <c r="N133" s="10" t="s">
        <v>191</v>
      </c>
    </row>
    <row r="134" spans="1:14" s="14" customFormat="1" ht="38.1" customHeight="1" x14ac:dyDescent="0.25">
      <c r="A134" s="21" t="s">
        <v>448</v>
      </c>
      <c r="B134" s="21" t="s">
        <v>443</v>
      </c>
      <c r="C134" s="21" t="s">
        <v>449</v>
      </c>
      <c r="D134" s="21" t="s">
        <v>445</v>
      </c>
      <c r="E134" s="21" t="s">
        <v>45</v>
      </c>
      <c r="F134" s="21" t="s">
        <v>46</v>
      </c>
      <c r="G134" s="21">
        <v>9</v>
      </c>
      <c r="H134" s="21">
        <v>9</v>
      </c>
      <c r="I134" s="21" t="s">
        <v>53</v>
      </c>
      <c r="J134" s="21" t="s">
        <v>40</v>
      </c>
      <c r="K134" s="21" t="s">
        <v>41</v>
      </c>
      <c r="L134" s="21" t="s">
        <v>49</v>
      </c>
      <c r="M134" s="21"/>
      <c r="N134" s="21" t="s">
        <v>191</v>
      </c>
    </row>
    <row r="135" spans="1:14" s="14" customFormat="1" ht="38.1" customHeight="1" x14ac:dyDescent="0.25">
      <c r="A135" s="10" t="s">
        <v>450</v>
      </c>
      <c r="B135" s="10" t="s">
        <v>443</v>
      </c>
      <c r="C135" s="10" t="s">
        <v>451</v>
      </c>
      <c r="D135" s="10" t="s">
        <v>445</v>
      </c>
      <c r="E135" s="10" t="s">
        <v>45</v>
      </c>
      <c r="F135" s="10" t="s">
        <v>46</v>
      </c>
      <c r="G135" s="10">
        <v>9</v>
      </c>
      <c r="H135" s="10">
        <v>9</v>
      </c>
      <c r="I135" s="10" t="s">
        <v>53</v>
      </c>
      <c r="J135" s="10" t="s">
        <v>40</v>
      </c>
      <c r="K135" s="10" t="s">
        <v>41</v>
      </c>
      <c r="L135" s="10" t="s">
        <v>49</v>
      </c>
      <c r="M135" s="10"/>
      <c r="N135" s="10" t="s">
        <v>191</v>
      </c>
    </row>
    <row r="136" spans="1:14" s="14" customFormat="1" ht="38.1" customHeight="1" x14ac:dyDescent="0.25">
      <c r="A136" s="21" t="s">
        <v>452</v>
      </c>
      <c r="B136" s="21" t="s">
        <v>443</v>
      </c>
      <c r="C136" s="21" t="s">
        <v>453</v>
      </c>
      <c r="D136" s="21" t="s">
        <v>445</v>
      </c>
      <c r="E136" s="21" t="s">
        <v>45</v>
      </c>
      <c r="F136" s="21" t="s">
        <v>46</v>
      </c>
      <c r="G136" s="21">
        <v>9</v>
      </c>
      <c r="H136" s="21">
        <v>9</v>
      </c>
      <c r="I136" s="21" t="s">
        <v>53</v>
      </c>
      <c r="J136" s="21" t="s">
        <v>40</v>
      </c>
      <c r="K136" s="21" t="s">
        <v>41</v>
      </c>
      <c r="L136" s="21" t="s">
        <v>49</v>
      </c>
      <c r="M136" s="21"/>
      <c r="N136" s="21" t="s">
        <v>191</v>
      </c>
    </row>
    <row r="137" spans="1:14" s="14" customFormat="1" ht="38.1" customHeight="1" x14ac:dyDescent="0.25">
      <c r="A137" s="10" t="s">
        <v>454</v>
      </c>
      <c r="B137" s="10" t="s">
        <v>443</v>
      </c>
      <c r="C137" s="10" t="s">
        <v>455</v>
      </c>
      <c r="D137" s="10" t="s">
        <v>77</v>
      </c>
      <c r="E137" s="10" t="s">
        <v>46</v>
      </c>
      <c r="F137" s="10" t="s">
        <v>38</v>
      </c>
      <c r="G137" s="10">
        <v>9</v>
      </c>
      <c r="H137" s="10">
        <v>9</v>
      </c>
      <c r="I137" s="10" t="s">
        <v>53</v>
      </c>
      <c r="J137" s="10" t="s">
        <v>40</v>
      </c>
      <c r="K137" s="10" t="s">
        <v>41</v>
      </c>
      <c r="L137" s="10" t="s">
        <v>49</v>
      </c>
      <c r="M137" s="10"/>
      <c r="N137" s="10" t="s">
        <v>191</v>
      </c>
    </row>
    <row r="138" spans="1:14" s="14" customFormat="1" ht="38.1" customHeight="1" x14ac:dyDescent="0.25">
      <c r="A138" s="21" t="s">
        <v>456</v>
      </c>
      <c r="B138" s="21" t="s">
        <v>443</v>
      </c>
      <c r="C138" s="21" t="s">
        <v>457</v>
      </c>
      <c r="D138" s="21" t="s">
        <v>458</v>
      </c>
      <c r="E138" s="21" t="s">
        <v>46</v>
      </c>
      <c r="F138" s="21" t="s">
        <v>46</v>
      </c>
      <c r="G138" s="21">
        <v>9</v>
      </c>
      <c r="H138" s="21">
        <v>9</v>
      </c>
      <c r="I138" s="21" t="s">
        <v>53</v>
      </c>
      <c r="J138" s="21" t="s">
        <v>40</v>
      </c>
      <c r="K138" s="21" t="s">
        <v>41</v>
      </c>
      <c r="L138" s="21" t="s">
        <v>49</v>
      </c>
      <c r="M138" s="21"/>
      <c r="N138" s="21" t="s">
        <v>191</v>
      </c>
    </row>
    <row r="139" spans="1:14" s="14" customFormat="1" ht="38.1" customHeight="1" x14ac:dyDescent="0.25">
      <c r="A139" s="10" t="s">
        <v>459</v>
      </c>
      <c r="B139" s="10" t="s">
        <v>443</v>
      </c>
      <c r="C139" s="10" t="s">
        <v>460</v>
      </c>
      <c r="D139" s="10" t="s">
        <v>77</v>
      </c>
      <c r="E139" s="10" t="s">
        <v>46</v>
      </c>
      <c r="F139" s="10" t="s">
        <v>38</v>
      </c>
      <c r="G139" s="10">
        <v>9</v>
      </c>
      <c r="H139" s="10">
        <v>9</v>
      </c>
      <c r="I139" s="10" t="s">
        <v>53</v>
      </c>
      <c r="J139" s="10" t="s">
        <v>40</v>
      </c>
      <c r="K139" s="10" t="s">
        <v>41</v>
      </c>
      <c r="L139" s="10" t="s">
        <v>49</v>
      </c>
      <c r="M139" s="10"/>
      <c r="N139" s="10" t="s">
        <v>191</v>
      </c>
    </row>
    <row r="140" spans="1:14" s="14" customFormat="1" ht="38.1" customHeight="1" x14ac:dyDescent="0.25">
      <c r="A140" s="21" t="s">
        <v>461</v>
      </c>
      <c r="B140" s="21" t="s">
        <v>443</v>
      </c>
      <c r="C140" s="21" t="s">
        <v>462</v>
      </c>
      <c r="D140" s="21" t="s">
        <v>214</v>
      </c>
      <c r="E140" s="21" t="s">
        <v>46</v>
      </c>
      <c r="F140" s="21" t="s">
        <v>38</v>
      </c>
      <c r="G140" s="21">
        <v>9</v>
      </c>
      <c r="H140" s="21">
        <v>9</v>
      </c>
      <c r="I140" s="21" t="s">
        <v>53</v>
      </c>
      <c r="J140" s="21" t="s">
        <v>40</v>
      </c>
      <c r="K140" s="21" t="s">
        <v>41</v>
      </c>
      <c r="L140" s="21" t="s">
        <v>49</v>
      </c>
      <c r="M140" s="21"/>
      <c r="N140" s="21" t="s">
        <v>191</v>
      </c>
    </row>
    <row r="141" spans="1:14" s="14" customFormat="1" ht="38.1" customHeight="1" x14ac:dyDescent="0.25">
      <c r="A141" s="10" t="s">
        <v>463</v>
      </c>
      <c r="B141" s="10" t="s">
        <v>77</v>
      </c>
      <c r="C141" s="10" t="s">
        <v>464</v>
      </c>
      <c r="D141" s="10" t="s">
        <v>77</v>
      </c>
      <c r="E141" s="10" t="s">
        <v>45</v>
      </c>
      <c r="F141" s="10" t="s">
        <v>46</v>
      </c>
      <c r="G141" s="10">
        <v>9</v>
      </c>
      <c r="H141" s="10">
        <v>9</v>
      </c>
      <c r="I141" s="10" t="s">
        <v>53</v>
      </c>
      <c r="J141" s="10" t="s">
        <v>40</v>
      </c>
      <c r="K141" s="10" t="s">
        <v>41</v>
      </c>
      <c r="L141" s="10" t="s">
        <v>49</v>
      </c>
      <c r="M141" s="10"/>
      <c r="N141" s="10" t="s">
        <v>465</v>
      </c>
    </row>
    <row r="142" spans="1:14" s="14" customFormat="1" ht="38.1" customHeight="1" x14ac:dyDescent="0.25">
      <c r="A142" s="21" t="s">
        <v>466</v>
      </c>
      <c r="B142" s="21" t="s">
        <v>77</v>
      </c>
      <c r="C142" s="21" t="s">
        <v>467</v>
      </c>
      <c r="D142" s="21" t="s">
        <v>77</v>
      </c>
      <c r="E142" s="21" t="s">
        <v>45</v>
      </c>
      <c r="F142" s="21" t="s">
        <v>46</v>
      </c>
      <c r="G142" s="21">
        <v>9</v>
      </c>
      <c r="H142" s="21">
        <v>9</v>
      </c>
      <c r="I142" s="21" t="s">
        <v>53</v>
      </c>
      <c r="J142" s="21" t="s">
        <v>40</v>
      </c>
      <c r="K142" s="21" t="s">
        <v>41</v>
      </c>
      <c r="L142" s="21" t="s">
        <v>49</v>
      </c>
      <c r="M142" s="21"/>
      <c r="N142" s="21" t="s">
        <v>465</v>
      </c>
    </row>
    <row r="143" spans="1:14" s="14" customFormat="1" ht="38.1" customHeight="1" x14ac:dyDescent="0.25">
      <c r="A143" s="10" t="s">
        <v>468</v>
      </c>
      <c r="B143" s="10" t="s">
        <v>77</v>
      </c>
      <c r="C143" s="10" t="s">
        <v>469</v>
      </c>
      <c r="D143" s="10" t="s">
        <v>77</v>
      </c>
      <c r="E143" s="10" t="s">
        <v>45</v>
      </c>
      <c r="F143" s="10" t="s">
        <v>46</v>
      </c>
      <c r="G143" s="10">
        <v>9</v>
      </c>
      <c r="H143" s="10">
        <v>9</v>
      </c>
      <c r="I143" s="10" t="s">
        <v>53</v>
      </c>
      <c r="J143" s="10" t="s">
        <v>40</v>
      </c>
      <c r="K143" s="10" t="s">
        <v>41</v>
      </c>
      <c r="L143" s="10" t="s">
        <v>49</v>
      </c>
      <c r="M143" s="10"/>
      <c r="N143" s="10" t="s">
        <v>465</v>
      </c>
    </row>
    <row r="144" spans="1:14" s="14" customFormat="1" ht="38.1" customHeight="1" x14ac:dyDescent="0.25">
      <c r="A144" s="21" t="s">
        <v>470</v>
      </c>
      <c r="B144" s="21" t="s">
        <v>471</v>
      </c>
      <c r="C144" s="21" t="s">
        <v>472</v>
      </c>
      <c r="D144" s="21" t="s">
        <v>473</v>
      </c>
      <c r="E144" s="21" t="s">
        <v>45</v>
      </c>
      <c r="F144" s="21" t="s">
        <v>46</v>
      </c>
      <c r="G144" s="21">
        <v>9</v>
      </c>
      <c r="H144" s="21">
        <v>9</v>
      </c>
      <c r="I144" s="21" t="s">
        <v>53</v>
      </c>
      <c r="J144" s="21" t="s">
        <v>40</v>
      </c>
      <c r="K144" s="21" t="s">
        <v>41</v>
      </c>
      <c r="L144" s="21" t="s">
        <v>49</v>
      </c>
      <c r="M144" s="21"/>
      <c r="N144" s="21" t="s">
        <v>474</v>
      </c>
    </row>
    <row r="145" spans="1:14" s="14" customFormat="1" ht="38.1" customHeight="1" x14ac:dyDescent="0.25">
      <c r="A145" s="10" t="s">
        <v>475</v>
      </c>
      <c r="B145" s="10" t="s">
        <v>471</v>
      </c>
      <c r="C145" s="10" t="s">
        <v>476</v>
      </c>
      <c r="D145" s="10" t="s">
        <v>473</v>
      </c>
      <c r="E145" s="10" t="s">
        <v>45</v>
      </c>
      <c r="F145" s="10" t="s">
        <v>46</v>
      </c>
      <c r="G145" s="10">
        <v>9</v>
      </c>
      <c r="H145" s="10">
        <v>9</v>
      </c>
      <c r="I145" s="10" t="s">
        <v>53</v>
      </c>
      <c r="J145" s="10" t="s">
        <v>40</v>
      </c>
      <c r="K145" s="10" t="s">
        <v>41</v>
      </c>
      <c r="L145" s="10" t="s">
        <v>49</v>
      </c>
      <c r="M145" s="10"/>
      <c r="N145" s="10" t="s">
        <v>474</v>
      </c>
    </row>
    <row r="146" spans="1:14" s="14" customFormat="1" ht="38.1" customHeight="1" x14ac:dyDescent="0.25">
      <c r="A146" s="21" t="s">
        <v>477</v>
      </c>
      <c r="B146" s="21" t="s">
        <v>471</v>
      </c>
      <c r="C146" s="21" t="s">
        <v>478</v>
      </c>
      <c r="D146" s="21" t="s">
        <v>473</v>
      </c>
      <c r="E146" s="21" t="s">
        <v>45</v>
      </c>
      <c r="F146" s="21" t="s">
        <v>46</v>
      </c>
      <c r="G146" s="21">
        <v>9</v>
      </c>
      <c r="H146" s="21">
        <v>9</v>
      </c>
      <c r="I146" s="21" t="s">
        <v>53</v>
      </c>
      <c r="J146" s="21" t="s">
        <v>40</v>
      </c>
      <c r="K146" s="21" t="s">
        <v>41</v>
      </c>
      <c r="L146" s="21" t="s">
        <v>49</v>
      </c>
      <c r="M146" s="21"/>
      <c r="N146" s="21" t="s">
        <v>474</v>
      </c>
    </row>
    <row r="147" spans="1:14" ht="1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</row>
    <row r="148" spans="1:14" ht="1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</row>
    <row r="149" spans="1:14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</row>
    <row r="150" spans="1:14" ht="1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</row>
    <row r="151" spans="1:14" ht="1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</row>
    <row r="152" spans="1:14" ht="1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</row>
    <row r="153" spans="1:14" ht="1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</row>
    <row r="154" spans="1:14" ht="1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</row>
    <row r="155" spans="1:14" ht="1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</row>
    <row r="156" spans="1:14" ht="1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</row>
    <row r="157" spans="1:14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</row>
    <row r="158" spans="1:14" ht="1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</row>
    <row r="159" spans="1:14" ht="1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</row>
    <row r="160" spans="1:14" ht="1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</row>
    <row r="161" spans="1:14" ht="1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</row>
    <row r="162" spans="1:14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</row>
    <row r="163" spans="1:14" ht="1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ht="1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</row>
    <row r="165" spans="1:14" ht="1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</row>
    <row r="166" spans="1:14" ht="1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</row>
    <row r="167" spans="1:14" ht="1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</row>
    <row r="168" spans="1:14" ht="1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</row>
    <row r="169" spans="1:14" ht="1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</row>
    <row r="170" spans="1:14" ht="1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1:14" ht="1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</row>
    <row r="172" spans="1:14" ht="1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</row>
    <row r="173" spans="1:14" ht="1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</row>
    <row r="174" spans="1:14" ht="1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</row>
    <row r="175" spans="1:14" ht="1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</row>
    <row r="176" spans="1:14" ht="1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</row>
    <row r="177" spans="1:14" ht="1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</row>
    <row r="178" spans="1:14" ht="1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</row>
    <row r="179" spans="1:14" ht="1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</row>
    <row r="180" spans="1:14" ht="1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</row>
    <row r="181" spans="1:14" ht="1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</row>
    <row r="182" spans="1:14" ht="1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</row>
    <row r="183" spans="1:14" ht="1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</row>
    <row r="184" spans="1:14" ht="1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</row>
    <row r="185" spans="1:14" ht="1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</row>
    <row r="186" spans="1:14" ht="1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</row>
    <row r="187" spans="1:14" ht="1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</row>
    <row r="188" spans="1:14" ht="1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</row>
    <row r="189" spans="1:14" ht="1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</row>
    <row r="190" spans="1:14" ht="1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</row>
    <row r="191" spans="1:14" ht="1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</row>
    <row r="192" spans="1:14" ht="1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</row>
    <row r="193" spans="1:14" ht="1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</row>
    <row r="194" spans="1:14" ht="1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</row>
    <row r="195" spans="1:14" ht="1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</row>
    <row r="196" spans="1:14" ht="1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</row>
    <row r="197" spans="1:14" ht="1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</row>
    <row r="198" spans="1:14" ht="1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</row>
    <row r="199" spans="1:14" ht="1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</row>
    <row r="200" spans="1:14" ht="1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</row>
    <row r="201" spans="1:14" ht="1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</row>
    <row r="202" spans="1:14" ht="1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</row>
    <row r="203" spans="1:14" ht="1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</row>
    <row r="204" spans="1:14" ht="1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</row>
    <row r="205" spans="1:14" ht="1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</row>
    <row r="206" spans="1:14" ht="1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</row>
    <row r="207" spans="1:14" ht="1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</row>
    <row r="208" spans="1:14" ht="1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</row>
    <row r="209" spans="1:14" ht="1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</row>
    <row r="210" spans="1:14" ht="1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</row>
    <row r="211" spans="1:14" ht="1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</row>
    <row r="212" spans="1:14" ht="1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</row>
    <row r="213" spans="1:14" ht="1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</row>
    <row r="214" spans="1:14" ht="1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</row>
    <row r="215" spans="1:14" ht="1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</row>
    <row r="216" spans="1:14" ht="1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</row>
    <row r="217" spans="1:14" ht="1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</row>
    <row r="218" spans="1:14" ht="1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</row>
    <row r="219" spans="1:14" ht="1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</row>
    <row r="220" spans="1:14" ht="1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</row>
    <row r="221" spans="1:14" ht="1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</row>
    <row r="222" spans="1:14" ht="1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</row>
    <row r="223" spans="1:14" ht="1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</row>
    <row r="224" spans="1:14" ht="1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</row>
    <row r="225" spans="1:14" ht="1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</row>
    <row r="226" spans="1:14" ht="1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</row>
    <row r="227" spans="1:14" ht="1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</row>
    <row r="228" spans="1:14" ht="1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</row>
    <row r="229" spans="1:14" ht="1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</row>
    <row r="230" spans="1:14" ht="1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</row>
    <row r="231" spans="1:14" ht="1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</row>
    <row r="232" spans="1:14" ht="1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</row>
    <row r="233" spans="1:14" ht="1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</row>
    <row r="234" spans="1:14" ht="1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</row>
    <row r="235" spans="1:14" ht="1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</row>
    <row r="236" spans="1:14" ht="1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</row>
    <row r="237" spans="1:14" ht="1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</row>
    <row r="238" spans="1:14" ht="1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</row>
    <row r="239" spans="1:14" ht="1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</row>
    <row r="240" spans="1:14" ht="1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</row>
    <row r="241" spans="1:14" ht="1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</row>
    <row r="242" spans="1:14" ht="1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</row>
    <row r="243" spans="1:14" ht="1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</row>
    <row r="244" spans="1:14" ht="1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</row>
    <row r="245" spans="1:14" ht="1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</row>
    <row r="246" spans="1:14" ht="1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</row>
    <row r="247" spans="1:14" ht="1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</row>
    <row r="248" spans="1:14" ht="1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</row>
    <row r="249" spans="1:14" ht="1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</row>
    <row r="250" spans="1:14" ht="1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</row>
    <row r="251" spans="1:14" ht="1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</row>
    <row r="252" spans="1:14" ht="1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</row>
    <row r="253" spans="1:14" ht="1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</row>
    <row r="254" spans="1:14" ht="1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</row>
    <row r="255" spans="1:14" ht="1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</row>
    <row r="256" spans="1:14" ht="1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</row>
    <row r="257" spans="1:14" ht="1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</row>
    <row r="258" spans="1:14" ht="1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</row>
    <row r="259" spans="1:14" ht="1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</row>
    <row r="260" spans="1:14" ht="1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</row>
    <row r="261" spans="1:14" ht="1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</row>
    <row r="262" spans="1:14" ht="1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</row>
    <row r="263" spans="1:14" ht="1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</row>
    <row r="264" spans="1:14" ht="1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</row>
    <row r="265" spans="1:14" ht="1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</row>
    <row r="266" spans="1:14" ht="1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</row>
    <row r="267" spans="1:14" ht="1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</row>
    <row r="268" spans="1:14" ht="1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</row>
    <row r="269" spans="1:14" ht="1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</row>
    <row r="270" spans="1:14" ht="1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</row>
    <row r="271" spans="1:14" ht="1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</row>
    <row r="272" spans="1:14" ht="1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</row>
    <row r="273" spans="1:14" ht="1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</row>
    <row r="274" spans="1:14" ht="1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</row>
    <row r="275" spans="1:14" ht="1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</row>
    <row r="276" spans="1:14" ht="1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</row>
    <row r="277" spans="1:14" ht="1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</row>
    <row r="278" spans="1:14" ht="1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</row>
    <row r="279" spans="1:14" ht="1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</row>
    <row r="280" spans="1:14" ht="1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</row>
    <row r="281" spans="1:14" ht="1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</row>
    <row r="282" spans="1:14" ht="1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</row>
    <row r="283" spans="1:14" ht="1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</row>
    <row r="284" spans="1:14" ht="1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</row>
    <row r="285" spans="1:14" ht="1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</row>
    <row r="286" spans="1:14" ht="1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</row>
    <row r="287" spans="1:14" ht="1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</row>
    <row r="288" spans="1:14" ht="15" customHeight="1" x14ac:dyDescent="0.25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</row>
    <row r="289" spans="1:14" ht="15" customHeight="1" x14ac:dyDescent="0.25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spans="1:14" ht="15" customHeight="1" x14ac:dyDescent="0.25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</row>
    <row r="291" spans="1:14" ht="15" customHeight="1" x14ac:dyDescent="0.25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</row>
    <row r="292" spans="1:14" ht="15" customHeight="1" x14ac:dyDescent="0.25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 spans="1:14" ht="15" customHeight="1" x14ac:dyDescent="0.25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</row>
    <row r="294" spans="1:14" ht="15" customHeight="1" x14ac:dyDescent="0.25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</row>
    <row r="295" spans="1:14" ht="15" customHeight="1" x14ac:dyDescent="0.2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 spans="1:14" ht="15" customHeight="1" x14ac:dyDescent="0.25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</row>
    <row r="297" spans="1:14" ht="1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</row>
    <row r="298" spans="1:14" ht="15" customHeight="1" x14ac:dyDescent="0.25"/>
    <row r="299" spans="1:14" ht="15" customHeight="1" x14ac:dyDescent="0.25"/>
    <row r="300" spans="1:14" ht="15" customHeight="1" x14ac:dyDescent="0.25"/>
    <row r="301" spans="1:14" ht="15" customHeight="1" x14ac:dyDescent="0.25"/>
    <row r="302" spans="1:14" ht="15" customHeight="1" x14ac:dyDescent="0.25"/>
    <row r="303" spans="1:14" ht="15" customHeight="1" x14ac:dyDescent="0.25"/>
    <row r="304" spans="1:1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</sheetData>
  <autoFilter ref="A1:N146" xr:uid="{00000000-0009-0000-0000-000003000000}"/>
  <conditionalFormatting sqref="O3:O14 I3:I287">
    <cfRule type="expression" dxfId="3" priority="5">
      <formula>I3="Blocked"</formula>
    </cfRule>
  </conditionalFormatting>
  <conditionalFormatting sqref="P3:P14 J3:J287">
    <cfRule type="expression" dxfId="2" priority="2">
      <formula>J3="Pass"</formula>
    </cfRule>
    <cfRule type="expression" dxfId="1" priority="3">
      <formula>J3="Fail"</formula>
    </cfRule>
    <cfRule type="expression" dxfId="0" priority="4">
      <formula>J3="Flaky"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  <headerFooter>
    <oddHeader>&amp;L&amp;"Aptos"&amp;10&amp;K008000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N60"/>
  <sheetViews>
    <sheetView showGridLines="0" tabSelected="1" topLeftCell="A25" zoomScale="80" zoomScaleNormal="100" workbookViewId="0">
      <selection activeCell="N29" sqref="N29"/>
    </sheetView>
  </sheetViews>
  <sheetFormatPr defaultColWidth="8.7109375" defaultRowHeight="14.45" customHeight="1" x14ac:dyDescent="0.25"/>
  <cols>
    <col min="1" max="1" width="39" customWidth="1"/>
    <col min="2" max="2" width="16" customWidth="1"/>
    <col min="3" max="3" width="3" customWidth="1"/>
    <col min="4" max="4" width="28" customWidth="1"/>
    <col min="5" max="5" width="18" customWidth="1"/>
    <col min="6" max="6" width="8" customWidth="1"/>
    <col min="13" max="13" width="15" customWidth="1"/>
    <col min="14" max="14" width="12" customWidth="1"/>
  </cols>
  <sheetData>
    <row r="1" spans="1:14" ht="32.1" customHeight="1" x14ac:dyDescent="0.25">
      <c r="A1" s="42" t="s">
        <v>16</v>
      </c>
      <c r="B1" s="42"/>
      <c r="M1" t="s">
        <v>479</v>
      </c>
      <c r="N1" t="s">
        <v>480</v>
      </c>
    </row>
    <row r="2" spans="1:14" ht="21.95" customHeight="1" x14ac:dyDescent="0.25">
      <c r="A2" s="43" t="s">
        <v>481</v>
      </c>
      <c r="B2" s="43"/>
      <c r="M2" t="s">
        <v>40</v>
      </c>
      <c r="N2">
        <f>COUNTIF('Test Case Tracker'!J3:J500,"Pass")</f>
        <v>133</v>
      </c>
    </row>
    <row r="3" spans="1:14" ht="14.45" customHeight="1" x14ac:dyDescent="0.25">
      <c r="M3" t="s">
        <v>48</v>
      </c>
      <c r="N3">
        <f>COUNTIF('Test Case Tracker'!J3:J500,"Fail")</f>
        <v>11</v>
      </c>
    </row>
    <row r="4" spans="1:14" ht="21" customHeight="1" x14ac:dyDescent="0.25">
      <c r="A4" s="44" t="s">
        <v>482</v>
      </c>
      <c r="B4" s="44"/>
      <c r="M4" t="s">
        <v>58</v>
      </c>
      <c r="N4">
        <f>COUNTIF('Test Case Tracker'!I3:I500,"Blocked")</f>
        <v>0</v>
      </c>
    </row>
    <row r="5" spans="1:14" s="14" customFormat="1" ht="15" customHeight="1" x14ac:dyDescent="0.25">
      <c r="A5" s="24" t="s">
        <v>483</v>
      </c>
      <c r="B5" s="25">
        <f>COUNTA('Test Case Tracker'!A3:A500)</f>
        <v>144</v>
      </c>
      <c r="M5" t="s">
        <v>54</v>
      </c>
      <c r="N5">
        <f>COUNTIF('Test Case Tracker'!I3:I500,"Not Started")+COUNTIF('Test Case Tracker'!I3:I500,"Not Run")</f>
        <v>0</v>
      </c>
    </row>
    <row r="6" spans="1:14" s="14" customFormat="1" ht="15" customHeight="1" x14ac:dyDescent="0.25">
      <c r="A6" s="24" t="s">
        <v>53</v>
      </c>
      <c r="B6" s="25">
        <f>COUNTIF('Test Case Tracker'!I3:I500,"Automated")</f>
        <v>144</v>
      </c>
      <c r="M6" t="s">
        <v>63</v>
      </c>
      <c r="N6">
        <f>COUNTIF('Test Case Tracker'!J3:J500,"Flaky")</f>
        <v>0</v>
      </c>
    </row>
    <row r="7" spans="1:14" s="14" customFormat="1" ht="15" customHeight="1" x14ac:dyDescent="0.25">
      <c r="A7" s="24" t="s">
        <v>47</v>
      </c>
      <c r="B7" s="25">
        <f>COUNTIF('Test Case Tracker'!I3:I500,"In Progress")</f>
        <v>0</v>
      </c>
    </row>
    <row r="8" spans="1:14" s="14" customFormat="1" ht="15" customHeight="1" x14ac:dyDescent="0.25">
      <c r="A8" s="24" t="s">
        <v>58</v>
      </c>
      <c r="B8" s="25">
        <f>COUNTIF('Test Case Tracker'!I3:I500,"Blocked")</f>
        <v>0</v>
      </c>
    </row>
    <row r="9" spans="1:14" s="14" customFormat="1" ht="14.45" customHeight="1" x14ac:dyDescent="0.25">
      <c r="A9" s="24" t="s">
        <v>484</v>
      </c>
      <c r="B9" s="26">
        <f>IFERROR(COUNTIF('Test Case Tracker'!J3:J500,"Pass")/(COUNTIF('Test Case Tracker'!J3:J500,"Pass")+COUNTIF('Test Case Tracker'!J3:J500,"Fail")),0)</f>
        <v>0.92361111111111116</v>
      </c>
    </row>
    <row r="10" spans="1:14" s="14" customFormat="1" ht="15" customHeight="1" x14ac:dyDescent="0.25">
      <c r="A10" s="24" t="s">
        <v>485</v>
      </c>
      <c r="B10" s="26">
        <f>IFERROR(COUNTIF('Test Case Tracker'!J3:J500,"Flaky")/COUNTIF('Test Case Tracker'!I3:I500,"Automated"),0)</f>
        <v>0</v>
      </c>
    </row>
    <row r="11" spans="1:14" s="14" customFormat="1" ht="15" customHeight="1" x14ac:dyDescent="0.25"/>
    <row r="12" spans="1:14" s="14" customFormat="1" ht="21" customHeight="1" x14ac:dyDescent="0.25">
      <c r="A12" s="44" t="s">
        <v>486</v>
      </c>
      <c r="B12" s="44"/>
    </row>
    <row r="13" spans="1:14" s="14" customFormat="1" ht="15" customHeight="1" x14ac:dyDescent="0.25">
      <c r="A13" s="24" t="s">
        <v>40</v>
      </c>
      <c r="B13" s="25">
        <f>COUNTIF('Test Case Tracker'!J3:J500,"Pass")</f>
        <v>133</v>
      </c>
    </row>
    <row r="14" spans="1:14" s="14" customFormat="1" ht="15" customHeight="1" x14ac:dyDescent="0.25">
      <c r="A14" s="24" t="s">
        <v>48</v>
      </c>
      <c r="B14" s="25">
        <f>COUNTIF('Test Case Tracker'!J3:J500,"Fail")</f>
        <v>11</v>
      </c>
    </row>
    <row r="15" spans="1:14" s="14" customFormat="1" ht="15" customHeight="1" x14ac:dyDescent="0.25">
      <c r="A15" s="24" t="s">
        <v>63</v>
      </c>
      <c r="B15" s="25">
        <f>COUNTIF('Test Case Tracker'!J3:J500,"Flaky")</f>
        <v>0</v>
      </c>
    </row>
    <row r="16" spans="1:14" s="14" customFormat="1" ht="15" customHeight="1" x14ac:dyDescent="0.25">
      <c r="A16" s="24" t="s">
        <v>54</v>
      </c>
      <c r="B16" s="25">
        <f>COUNTIF('Test Case Tracker'!I3:I500,"Not Started")+COUNTIF('Test Case Tracker'!I3:I500,"Not Run")</f>
        <v>0</v>
      </c>
    </row>
    <row r="17" spans="1:2" ht="15" x14ac:dyDescent="0.25">
      <c r="A17" s="24" t="s">
        <v>484</v>
      </c>
      <c r="B17" s="26">
        <f>IFERROR(COUNTIF('Test Case Tracker'!J3:J500,"Pass")/(COUNTIF('Test Case Tracker'!J3:J500,"Pass")+COUNTIF('Test Case Tracker'!J3:J500,"Fail")),0)</f>
        <v>0.92361111111111116</v>
      </c>
    </row>
    <row r="18" spans="1:2" ht="15" customHeight="1" x14ac:dyDescent="0.25">
      <c r="A18" s="24" t="s">
        <v>485</v>
      </c>
      <c r="B18" s="26">
        <f>IFERROR(COUNTIF('Test Case Tracker'!J3:J500,"Flaky")/COUNTIF('Test Case Tracker'!I3:I500,"Automated"),0)</f>
        <v>0</v>
      </c>
    </row>
    <row r="19" spans="1:2" ht="15" customHeight="1" x14ac:dyDescent="0.25"/>
    <row r="20" spans="1:2" ht="21" customHeight="1" x14ac:dyDescent="0.25">
      <c r="A20" s="44" t="s">
        <v>487</v>
      </c>
      <c r="B20" s="44"/>
    </row>
    <row r="21" spans="1:2" ht="15" customHeight="1" x14ac:dyDescent="0.25">
      <c r="A21" s="24" t="s">
        <v>37</v>
      </c>
      <c r="B21" s="25">
        <f>COUNTIF('Test Case Tracker'!E3:E500,"Critical")</f>
        <v>0</v>
      </c>
    </row>
    <row r="22" spans="1:2" ht="15" customHeight="1" x14ac:dyDescent="0.25">
      <c r="A22" s="24" t="s">
        <v>45</v>
      </c>
      <c r="B22" s="25">
        <f>COUNTIF('Test Case Tracker'!E3:E500,"High")</f>
        <v>115</v>
      </c>
    </row>
    <row r="23" spans="1:2" x14ac:dyDescent="0.25">
      <c r="A23" s="24" t="s">
        <v>46</v>
      </c>
      <c r="B23" s="25">
        <f>COUNTIF('Test Case Tracker'!E3:E500,"Medium")</f>
        <v>29</v>
      </c>
    </row>
    <row r="24" spans="1:2" ht="15" customHeight="1" x14ac:dyDescent="0.25">
      <c r="A24" s="24" t="s">
        <v>38</v>
      </c>
      <c r="B24" s="25">
        <f>COUNTIF('Test Case Tracker'!E3:E500,"Low")</f>
        <v>0</v>
      </c>
    </row>
    <row r="25" spans="1:2" ht="15" customHeight="1" x14ac:dyDescent="0.25"/>
    <row r="26" spans="1:2" ht="21" customHeight="1" x14ac:dyDescent="0.25">
      <c r="A26" s="44" t="s">
        <v>488</v>
      </c>
      <c r="B26" s="44"/>
    </row>
    <row r="27" spans="1:2" ht="15" customHeight="1" x14ac:dyDescent="0.25">
      <c r="A27" s="24" t="s">
        <v>38</v>
      </c>
      <c r="B27" s="25">
        <f>COUNTIF('Test Case Tracker'!F3:F500,"Low")</f>
        <v>71</v>
      </c>
    </row>
    <row r="28" spans="1:2" ht="25.5" customHeight="1" x14ac:dyDescent="0.25">
      <c r="A28" s="24" t="s">
        <v>46</v>
      </c>
      <c r="B28" s="25">
        <f>COUNTIF('Test Case Tracker'!F3:F500,"Medium")</f>
        <v>64</v>
      </c>
    </row>
    <row r="29" spans="1:2" x14ac:dyDescent="0.25">
      <c r="A29" s="24" t="s">
        <v>45</v>
      </c>
      <c r="B29" s="25">
        <f>COUNTIF('Test Case Tracker'!F3:F500,"High")</f>
        <v>9</v>
      </c>
    </row>
    <row r="30" spans="1:2" ht="30" customHeight="1" x14ac:dyDescent="0.25">
      <c r="A30" s="24" t="s">
        <v>489</v>
      </c>
      <c r="B30" s="25">
        <f>COUNTIF('Test Case Tracker'!F3:F500,"Low")+COUNTIF('Test Case Tracker'!F3:F500,"Medium")*2+COUNTIF('Test Case Tracker'!F3:F500,"High")*3</f>
        <v>226</v>
      </c>
    </row>
    <row r="31" spans="1:2" ht="15" customHeight="1" x14ac:dyDescent="0.25"/>
    <row r="32" spans="1:2" ht="21" customHeight="1" x14ac:dyDescent="0.25">
      <c r="A32" s="44" t="s">
        <v>490</v>
      </c>
      <c r="B32" s="44"/>
    </row>
    <row r="33" spans="1:2" ht="15" customHeight="1" x14ac:dyDescent="0.25">
      <c r="A33" s="24" t="s">
        <v>491</v>
      </c>
      <c r="B33" s="27">
        <f>IFERROR(AVERAGE('Daily Log'!E2:E10),0)</f>
        <v>16</v>
      </c>
    </row>
    <row r="34" spans="1:2" ht="15" customHeight="1" x14ac:dyDescent="0.25">
      <c r="A34" s="24" t="s">
        <v>492</v>
      </c>
      <c r="B34" s="27">
        <f>SUM('Daily Log'!K2:K11)</f>
        <v>0</v>
      </c>
    </row>
    <row r="35" spans="1:2" ht="15" customHeight="1" x14ac:dyDescent="0.25">
      <c r="A35" s="24" t="s">
        <v>493</v>
      </c>
      <c r="B35" s="25" t="str">
        <f>IF(SUM('Daily Log'!K2:K11)=0,"Not tracked",SUM('Daily Log'!E2:E10)/SUM('Daily Log'!K2:K11))</f>
        <v>Not tracked</v>
      </c>
    </row>
    <row r="36" spans="1:2" ht="15" customHeight="1" x14ac:dyDescent="0.25">
      <c r="A36" s="24" t="s">
        <v>494</v>
      </c>
      <c r="B36" s="25">
        <f>SUM('Daily Log'!L2:L11)</f>
        <v>0</v>
      </c>
    </row>
    <row r="37" spans="1:2" ht="15" customHeight="1" x14ac:dyDescent="0.25">
      <c r="A37" s="24" t="s">
        <v>495</v>
      </c>
      <c r="B37" s="25">
        <f>SUM('Daily Log'!M2:M11)</f>
        <v>0</v>
      </c>
    </row>
    <row r="38" spans="1:2" ht="15" x14ac:dyDescent="0.25">
      <c r="A38" s="24" t="s">
        <v>496</v>
      </c>
      <c r="B38" s="25">
        <f>MAX(0,SUM('Daily Log'!L2:L11)-SUM('Daily Log'!M2:M11))</f>
        <v>0</v>
      </c>
    </row>
    <row r="39" spans="1:2" ht="15" customHeight="1" x14ac:dyDescent="0.25">
      <c r="A39" s="24" t="s">
        <v>497</v>
      </c>
      <c r="B39" s="25">
        <f>SUM('Daily Log'!N2:N11)</f>
        <v>1</v>
      </c>
    </row>
    <row r="40" spans="1:2" ht="25.5" customHeight="1" x14ac:dyDescent="0.25"/>
    <row r="41" spans="1:2" ht="21" customHeight="1" x14ac:dyDescent="0.25">
      <c r="A41" s="44" t="s">
        <v>498</v>
      </c>
      <c r="B41" s="44"/>
    </row>
    <row r="42" spans="1:2" ht="15" x14ac:dyDescent="0.25">
      <c r="A42" s="24" t="s">
        <v>499</v>
      </c>
      <c r="B42" s="25">
        <f>COUNTIF('Test Case Tracker'!K3:K500,"Y")</f>
        <v>144</v>
      </c>
    </row>
    <row r="43" spans="1:2" ht="15" x14ac:dyDescent="0.25">
      <c r="A43" s="24" t="s">
        <v>500</v>
      </c>
      <c r="B43" s="26">
        <f>IFERROR(COUNTIF('Test Case Tracker'!K3:K500,"Y")/COUNTIF('Test Case Tracker'!I3:I500,"Automated"),0)</f>
        <v>1</v>
      </c>
    </row>
    <row r="44" spans="1:2" ht="15" customHeight="1" x14ac:dyDescent="0.25"/>
    <row r="45" spans="1:2" ht="15" customHeight="1" x14ac:dyDescent="0.25"/>
    <row r="46" spans="1:2" ht="30" customHeight="1" x14ac:dyDescent="0.25"/>
    <row r="47" spans="1:2" ht="30" customHeight="1" x14ac:dyDescent="0.25"/>
    <row r="48" spans="1:2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45" customHeight="1" x14ac:dyDescent="0.25"/>
    <row r="54" ht="45" customHeight="1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</sheetData>
  <mergeCells count="8">
    <mergeCell ref="A26:B26"/>
    <mergeCell ref="A32:B32"/>
    <mergeCell ref="A41:B41"/>
    <mergeCell ref="A1:B1"/>
    <mergeCell ref="A2:B2"/>
    <mergeCell ref="A4:B4"/>
    <mergeCell ref="A12:B12"/>
    <mergeCell ref="A20:B20"/>
  </mergeCells>
  <pageMargins left="0.75" right="0.75" top="1" bottom="1" header="0.511811023622047" footer="0.511811023622047"/>
  <pageSetup paperSize="9" orientation="portrait" useFirstPageNumber="1" horizontalDpi="300" verticalDpi="300"/>
  <headerFooter>
    <oddHeader>&amp;L&amp;"Aptos"&amp;10&amp;K008000 Classification: Internal&amp;1#_x000D_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zoomScaleNormal="100" workbookViewId="0"/>
  </sheetViews>
  <sheetFormatPr defaultColWidth="8.7109375" defaultRowHeight="14.45" customHeight="1" x14ac:dyDescent="0.25"/>
  <cols>
    <col min="1" max="1" width="34" customWidth="1"/>
    <col min="2" max="2" width="12" customWidth="1"/>
    <col min="3" max="4" width="14" customWidth="1"/>
    <col min="5" max="5" width="40" customWidth="1"/>
  </cols>
  <sheetData>
    <row r="1" spans="1:5" ht="21" customHeight="1" x14ac:dyDescent="0.25">
      <c r="A1" s="1" t="s">
        <v>501</v>
      </c>
    </row>
    <row r="2" spans="1:5" ht="15" customHeight="1" x14ac:dyDescent="0.25">
      <c r="A2" s="2" t="s">
        <v>502</v>
      </c>
    </row>
    <row r="4" spans="1:5" ht="27.6" customHeight="1" x14ac:dyDescent="0.25">
      <c r="A4" s="28" t="s">
        <v>503</v>
      </c>
      <c r="B4" s="28" t="s">
        <v>504</v>
      </c>
      <c r="C4" s="28" t="s">
        <v>505</v>
      </c>
      <c r="D4" s="28" t="s">
        <v>506</v>
      </c>
      <c r="E4" s="28" t="s">
        <v>507</v>
      </c>
    </row>
    <row r="5" spans="1:5" ht="30" customHeight="1" x14ac:dyDescent="0.25">
      <c r="A5" s="29" t="s">
        <v>508</v>
      </c>
      <c r="B5" s="30">
        <v>0.25</v>
      </c>
      <c r="C5" s="29"/>
      <c r="D5" s="31">
        <f t="shared" ref="D5:D10" si="0">IFERROR(B5*C5,"")</f>
        <v>0</v>
      </c>
      <c r="E5" s="29"/>
    </row>
    <row r="6" spans="1:5" ht="30" customHeight="1" x14ac:dyDescent="0.25">
      <c r="A6" s="29" t="s">
        <v>509</v>
      </c>
      <c r="B6" s="30">
        <v>0.2</v>
      </c>
      <c r="C6" s="29"/>
      <c r="D6" s="31">
        <f t="shared" si="0"/>
        <v>0</v>
      </c>
      <c r="E6" s="29"/>
    </row>
    <row r="7" spans="1:5" ht="30" customHeight="1" x14ac:dyDescent="0.25">
      <c r="A7" s="29" t="s">
        <v>510</v>
      </c>
      <c r="B7" s="30">
        <v>0.2</v>
      </c>
      <c r="C7" s="29"/>
      <c r="D7" s="31">
        <f t="shared" si="0"/>
        <v>0</v>
      </c>
      <c r="E7" s="29"/>
    </row>
    <row r="8" spans="1:5" ht="30" customHeight="1" x14ac:dyDescent="0.25">
      <c r="A8" s="29" t="s">
        <v>511</v>
      </c>
      <c r="B8" s="30">
        <v>0.15</v>
      </c>
      <c r="C8" s="29"/>
      <c r="D8" s="31">
        <f t="shared" si="0"/>
        <v>0</v>
      </c>
      <c r="E8" s="29"/>
    </row>
    <row r="9" spans="1:5" ht="30" customHeight="1" x14ac:dyDescent="0.25">
      <c r="A9" s="29" t="s">
        <v>512</v>
      </c>
      <c r="B9" s="30">
        <v>0.15</v>
      </c>
      <c r="C9" s="29"/>
      <c r="D9" s="31">
        <f t="shared" si="0"/>
        <v>0</v>
      </c>
      <c r="E9" s="29"/>
    </row>
    <row r="10" spans="1:5" ht="30" customHeight="1" x14ac:dyDescent="0.25">
      <c r="A10" s="29" t="s">
        <v>513</v>
      </c>
      <c r="B10" s="30">
        <v>0.05</v>
      </c>
      <c r="C10" s="29"/>
      <c r="D10" s="31">
        <f t="shared" si="0"/>
        <v>0</v>
      </c>
      <c r="E10" s="29"/>
    </row>
    <row r="11" spans="1:5" ht="15" customHeight="1" x14ac:dyDescent="0.25">
      <c r="A11" s="32" t="s">
        <v>514</v>
      </c>
      <c r="B11" s="33">
        <f>SUM(B5:B10)</f>
        <v>1</v>
      </c>
      <c r="C11" s="32"/>
      <c r="D11" s="34">
        <f>SUM(D5:D10)</f>
        <v>0</v>
      </c>
      <c r="E11" s="32"/>
    </row>
    <row r="13" spans="1:5" ht="15" customHeight="1" x14ac:dyDescent="0.25">
      <c r="A13" s="3" t="s">
        <v>515</v>
      </c>
      <c r="B13" s="35">
        <f>D11</f>
        <v>0</v>
      </c>
    </row>
    <row r="14" spans="1:5" ht="15" customHeight="1" x14ac:dyDescent="0.25">
      <c r="A14" s="3" t="s">
        <v>516</v>
      </c>
      <c r="B14" s="36" t="str">
        <f>_xlfn.IFS(D11&gt;=4,"Strong",D11&gt;=2.5,"Developing",D11&lt;2.5,"Needs Support")</f>
        <v>Needs Support</v>
      </c>
    </row>
    <row r="16" spans="1:5" ht="15" customHeight="1" x14ac:dyDescent="0.25">
      <c r="A16" s="2" t="s">
        <v>517</v>
      </c>
    </row>
  </sheetData>
  <dataValidations count="1">
    <dataValidation type="whole" allowBlank="1" errorTitle="Invalid rating" error="Enter a whole number from 1 to 5." sqref="C5:C10" xr:uid="{00000000-0002-0000-05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  <headerFooter>
    <oddHeader>&amp;L&amp;"Aptos"&amp;10&amp;K008000 Classification: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1" customWidth="1"/>
    <col min="3" max="3" width="40" customWidth="1"/>
    <col min="4" max="4" width="15" customWidth="1"/>
    <col min="5" max="5" width="13" customWidth="1"/>
    <col min="6" max="7" width="12" customWidth="1"/>
    <col min="8" max="8" width="20" customWidth="1"/>
    <col min="9" max="9" width="30" customWidth="1"/>
    <col min="10" max="10" width="16" customWidth="1"/>
    <col min="11" max="11" width="95" customWidth="1"/>
  </cols>
  <sheetData>
    <row r="1" spans="1:11" ht="36" customHeight="1" x14ac:dyDescent="0.25">
      <c r="A1" s="37" t="s">
        <v>518</v>
      </c>
      <c r="B1" s="37" t="s">
        <v>519</v>
      </c>
      <c r="C1" s="37" t="s">
        <v>520</v>
      </c>
      <c r="D1" s="37" t="s">
        <v>89</v>
      </c>
      <c r="E1" s="37" t="s">
        <v>521</v>
      </c>
      <c r="F1" s="37" t="s">
        <v>91</v>
      </c>
      <c r="G1" s="37" t="s">
        <v>92</v>
      </c>
      <c r="H1" s="37" t="s">
        <v>522</v>
      </c>
      <c r="I1" s="37" t="s">
        <v>523</v>
      </c>
      <c r="J1" s="37" t="s">
        <v>524</v>
      </c>
      <c r="K1" s="37" t="s">
        <v>525</v>
      </c>
    </row>
    <row r="2" spans="1:11" x14ac:dyDescent="0.25">
      <c r="A2" s="38" t="s">
        <v>526</v>
      </c>
      <c r="B2" s="38" t="s">
        <v>527</v>
      </c>
      <c r="C2" s="38" t="s">
        <v>528</v>
      </c>
      <c r="D2" s="39">
        <v>77</v>
      </c>
      <c r="E2" s="39">
        <v>73</v>
      </c>
      <c r="F2" s="39">
        <v>60</v>
      </c>
      <c r="G2" s="39">
        <v>13</v>
      </c>
      <c r="H2" s="39">
        <v>4</v>
      </c>
      <c r="I2" s="38" t="s">
        <v>529</v>
      </c>
      <c r="J2" s="38" t="s">
        <v>530</v>
      </c>
      <c r="K2" s="38" t="s">
        <v>531</v>
      </c>
    </row>
    <row r="3" spans="1:11" ht="30" customHeight="1" x14ac:dyDescent="0.25">
      <c r="A3" s="38" t="s">
        <v>526</v>
      </c>
      <c r="B3" s="38" t="s">
        <v>532</v>
      </c>
      <c r="C3" s="38" t="s">
        <v>528</v>
      </c>
      <c r="D3" s="39">
        <v>77</v>
      </c>
      <c r="E3" s="39">
        <v>0</v>
      </c>
      <c r="F3" s="39">
        <v>0</v>
      </c>
      <c r="G3" s="39">
        <v>0</v>
      </c>
      <c r="H3" s="39">
        <v>77</v>
      </c>
      <c r="I3" s="38" t="s">
        <v>533</v>
      </c>
      <c r="J3" s="38" t="s">
        <v>530</v>
      </c>
      <c r="K3" s="38" t="s">
        <v>534</v>
      </c>
    </row>
    <row r="4" spans="1:11" x14ac:dyDescent="0.25">
      <c r="A4" s="38" t="s">
        <v>535</v>
      </c>
      <c r="B4" s="38" t="s">
        <v>536</v>
      </c>
      <c r="C4" s="38" t="s">
        <v>528</v>
      </c>
      <c r="D4" s="39">
        <v>4</v>
      </c>
      <c r="E4" s="39">
        <v>4</v>
      </c>
      <c r="F4" s="39">
        <v>4</v>
      </c>
      <c r="G4" s="39">
        <v>0</v>
      </c>
      <c r="H4" s="39">
        <v>0</v>
      </c>
      <c r="I4" s="38" t="s">
        <v>91</v>
      </c>
      <c r="J4" s="38" t="s">
        <v>530</v>
      </c>
      <c r="K4" s="38" t="s">
        <v>537</v>
      </c>
    </row>
    <row r="5" spans="1:11" x14ac:dyDescent="0.25">
      <c r="A5" s="38" t="s">
        <v>535</v>
      </c>
      <c r="B5" s="38" t="s">
        <v>536</v>
      </c>
      <c r="C5" s="38" t="s">
        <v>538</v>
      </c>
      <c r="D5" s="39">
        <v>4</v>
      </c>
      <c r="E5" s="39">
        <v>4</v>
      </c>
      <c r="F5" s="39">
        <v>4</v>
      </c>
      <c r="G5" s="39">
        <v>0</v>
      </c>
      <c r="H5" s="39">
        <v>0</v>
      </c>
      <c r="I5" s="38" t="s">
        <v>91</v>
      </c>
      <c r="J5" s="38" t="s">
        <v>530</v>
      </c>
      <c r="K5" s="38" t="s">
        <v>537</v>
      </c>
    </row>
    <row r="6" spans="1:11" x14ac:dyDescent="0.25">
      <c r="A6" s="38" t="s">
        <v>535</v>
      </c>
      <c r="B6" s="38" t="s">
        <v>536</v>
      </c>
      <c r="C6" s="38" t="s">
        <v>539</v>
      </c>
      <c r="D6" s="39">
        <v>4</v>
      </c>
      <c r="E6" s="39">
        <v>4</v>
      </c>
      <c r="F6" s="39">
        <v>3</v>
      </c>
      <c r="G6" s="39">
        <v>1</v>
      </c>
      <c r="H6" s="39">
        <v>0</v>
      </c>
      <c r="I6" s="38" t="s">
        <v>540</v>
      </c>
      <c r="J6" s="38" t="s">
        <v>530</v>
      </c>
      <c r="K6" s="38" t="s">
        <v>541</v>
      </c>
    </row>
    <row r="7" spans="1:11" x14ac:dyDescent="0.25">
      <c r="A7" s="38" t="s">
        <v>535</v>
      </c>
      <c r="B7" s="38" t="s">
        <v>536</v>
      </c>
      <c r="C7" s="38" t="s">
        <v>542</v>
      </c>
      <c r="D7" s="39">
        <v>4</v>
      </c>
      <c r="E7" s="39">
        <v>4</v>
      </c>
      <c r="F7" s="39">
        <v>4</v>
      </c>
      <c r="G7" s="39">
        <v>0</v>
      </c>
      <c r="H7" s="39">
        <v>0</v>
      </c>
      <c r="I7" s="38" t="s">
        <v>91</v>
      </c>
      <c r="J7" s="38" t="s">
        <v>530</v>
      </c>
      <c r="K7" s="38" t="s">
        <v>537</v>
      </c>
    </row>
    <row r="8" spans="1:11" x14ac:dyDescent="0.25">
      <c r="A8" s="38" t="s">
        <v>535</v>
      </c>
      <c r="B8" s="38" t="s">
        <v>536</v>
      </c>
      <c r="C8" s="38" t="s">
        <v>543</v>
      </c>
      <c r="D8" s="39">
        <v>4</v>
      </c>
      <c r="E8" s="39">
        <v>4</v>
      </c>
      <c r="F8" s="39">
        <v>4</v>
      </c>
      <c r="G8" s="39">
        <v>0</v>
      </c>
      <c r="H8" s="39">
        <v>0</v>
      </c>
      <c r="I8" s="38" t="s">
        <v>91</v>
      </c>
      <c r="J8" s="38" t="s">
        <v>530</v>
      </c>
      <c r="K8" s="38" t="s">
        <v>537</v>
      </c>
    </row>
    <row r="9" spans="1:11" x14ac:dyDescent="0.25">
      <c r="A9" s="38" t="s">
        <v>535</v>
      </c>
      <c r="B9" s="38" t="s">
        <v>536</v>
      </c>
      <c r="C9" s="38" t="s">
        <v>544</v>
      </c>
      <c r="D9" s="39">
        <v>4</v>
      </c>
      <c r="E9" s="39">
        <v>4</v>
      </c>
      <c r="F9" s="39">
        <v>4</v>
      </c>
      <c r="G9" s="39">
        <v>0</v>
      </c>
      <c r="H9" s="39">
        <v>0</v>
      </c>
      <c r="I9" s="38" t="s">
        <v>91</v>
      </c>
      <c r="J9" s="38" t="s">
        <v>530</v>
      </c>
      <c r="K9" s="38" t="s">
        <v>537</v>
      </c>
    </row>
    <row r="10" spans="1:11" x14ac:dyDescent="0.25">
      <c r="A10" s="40" t="s">
        <v>535</v>
      </c>
      <c r="B10" s="40" t="s">
        <v>545</v>
      </c>
      <c r="C10" s="40" t="s">
        <v>546</v>
      </c>
      <c r="D10" s="41">
        <v>24</v>
      </c>
      <c r="E10" s="41">
        <v>24</v>
      </c>
      <c r="F10" s="41">
        <v>23</v>
      </c>
      <c r="G10" s="41">
        <v>1</v>
      </c>
      <c r="H10" s="41">
        <v>0</v>
      </c>
      <c r="I10" s="40" t="s">
        <v>540</v>
      </c>
      <c r="J10" s="40" t="s">
        <v>530</v>
      </c>
      <c r="K10" s="40" t="s">
        <v>547</v>
      </c>
    </row>
    <row r="11" spans="1:11" ht="30" customHeight="1" x14ac:dyDescent="0.25">
      <c r="A11" s="38" t="s">
        <v>535</v>
      </c>
      <c r="B11" s="38" t="s">
        <v>548</v>
      </c>
      <c r="C11" s="38" t="s">
        <v>549</v>
      </c>
      <c r="D11" s="39">
        <v>1</v>
      </c>
      <c r="E11" s="39">
        <v>0</v>
      </c>
      <c r="F11" s="39">
        <v>0</v>
      </c>
      <c r="G11" s="39">
        <v>0</v>
      </c>
      <c r="H11" s="39">
        <v>1</v>
      </c>
      <c r="I11" s="38" t="s">
        <v>58</v>
      </c>
      <c r="J11" s="38" t="s">
        <v>530</v>
      </c>
      <c r="K11" s="38" t="s">
        <v>550</v>
      </c>
    </row>
    <row r="12" spans="1:11" ht="30" customHeight="1" x14ac:dyDescent="0.25">
      <c r="A12" s="38" t="s">
        <v>535</v>
      </c>
      <c r="B12" s="38" t="s">
        <v>548</v>
      </c>
      <c r="C12" s="38" t="s">
        <v>551</v>
      </c>
      <c r="D12" s="39">
        <v>1</v>
      </c>
      <c r="E12" s="39">
        <v>0</v>
      </c>
      <c r="F12" s="39">
        <v>0</v>
      </c>
      <c r="G12" s="39">
        <v>0</v>
      </c>
      <c r="H12" s="39">
        <v>1</v>
      </c>
      <c r="I12" s="38" t="s">
        <v>58</v>
      </c>
      <c r="J12" s="38" t="s">
        <v>530</v>
      </c>
      <c r="K12" s="38" t="s">
        <v>550</v>
      </c>
    </row>
    <row r="13" spans="1:11" x14ac:dyDescent="0.25">
      <c r="A13" s="38" t="s">
        <v>535</v>
      </c>
      <c r="B13" s="38" t="s">
        <v>548</v>
      </c>
      <c r="C13" s="38" t="s">
        <v>552</v>
      </c>
      <c r="D13" s="39">
        <v>1</v>
      </c>
      <c r="E13" s="39">
        <v>0</v>
      </c>
      <c r="F13" s="39">
        <v>0</v>
      </c>
      <c r="G13" s="39">
        <v>0</v>
      </c>
      <c r="H13" s="39">
        <v>1</v>
      </c>
      <c r="I13" s="38" t="s">
        <v>58</v>
      </c>
      <c r="J13" s="38" t="s">
        <v>530</v>
      </c>
      <c r="K13" s="38" t="s">
        <v>550</v>
      </c>
    </row>
    <row r="14" spans="1:11" x14ac:dyDescent="0.25">
      <c r="A14" s="40" t="s">
        <v>535</v>
      </c>
      <c r="B14" s="40" t="s">
        <v>553</v>
      </c>
      <c r="C14" s="40" t="s">
        <v>554</v>
      </c>
      <c r="D14" s="41">
        <v>3</v>
      </c>
      <c r="E14" s="41">
        <v>0</v>
      </c>
      <c r="F14" s="41">
        <v>0</v>
      </c>
      <c r="G14" s="41">
        <v>0</v>
      </c>
      <c r="H14" s="41">
        <v>3</v>
      </c>
      <c r="I14" s="40" t="s">
        <v>58</v>
      </c>
      <c r="J14" s="40" t="s">
        <v>530</v>
      </c>
      <c r="K14" s="40" t="s">
        <v>555</v>
      </c>
    </row>
    <row r="15" spans="1:11" ht="30" customHeight="1" x14ac:dyDescent="0.25">
      <c r="A15" s="38" t="s">
        <v>535</v>
      </c>
      <c r="B15" s="38" t="s">
        <v>556</v>
      </c>
      <c r="C15" s="38" t="s">
        <v>549</v>
      </c>
      <c r="D15" s="39">
        <v>1</v>
      </c>
      <c r="E15" s="39">
        <v>0</v>
      </c>
      <c r="F15" s="39">
        <v>0</v>
      </c>
      <c r="G15" s="39">
        <v>0</v>
      </c>
      <c r="H15" s="39">
        <v>0</v>
      </c>
      <c r="I15" s="38" t="s">
        <v>54</v>
      </c>
      <c r="J15" s="38" t="s">
        <v>103</v>
      </c>
      <c r="K15" s="38" t="s">
        <v>557</v>
      </c>
    </row>
    <row r="16" spans="1:11" ht="30" customHeight="1" x14ac:dyDescent="0.25">
      <c r="A16" s="38" t="s">
        <v>535</v>
      </c>
      <c r="B16" s="38" t="s">
        <v>556</v>
      </c>
      <c r="C16" s="38" t="s">
        <v>551</v>
      </c>
      <c r="D16" s="39">
        <v>1</v>
      </c>
      <c r="E16" s="39">
        <v>0</v>
      </c>
      <c r="F16" s="39">
        <v>0</v>
      </c>
      <c r="G16" s="39">
        <v>0</v>
      </c>
      <c r="H16" s="39">
        <v>0</v>
      </c>
      <c r="I16" s="38" t="s">
        <v>54</v>
      </c>
      <c r="J16" s="38" t="s">
        <v>103</v>
      </c>
      <c r="K16" s="38" t="s">
        <v>557</v>
      </c>
    </row>
    <row r="17" spans="1:11" x14ac:dyDescent="0.25">
      <c r="A17" s="38" t="s">
        <v>535</v>
      </c>
      <c r="B17" s="38" t="s">
        <v>556</v>
      </c>
      <c r="C17" s="38" t="s">
        <v>552</v>
      </c>
      <c r="D17" s="39">
        <v>1</v>
      </c>
      <c r="E17" s="39">
        <v>0</v>
      </c>
      <c r="F17" s="39">
        <v>0</v>
      </c>
      <c r="G17" s="39">
        <v>0</v>
      </c>
      <c r="H17" s="39">
        <v>0</v>
      </c>
      <c r="I17" s="38" t="s">
        <v>54</v>
      </c>
      <c r="J17" s="38" t="s">
        <v>103</v>
      </c>
      <c r="K17" s="38" t="s">
        <v>557</v>
      </c>
    </row>
    <row r="18" spans="1:11" x14ac:dyDescent="0.25">
      <c r="A18" s="40" t="s">
        <v>535</v>
      </c>
      <c r="B18" s="40" t="s">
        <v>558</v>
      </c>
      <c r="C18" s="40" t="s">
        <v>554</v>
      </c>
      <c r="D18" s="41">
        <v>3</v>
      </c>
      <c r="E18" s="41">
        <v>0</v>
      </c>
      <c r="F18" s="41">
        <v>0</v>
      </c>
      <c r="G18" s="41">
        <v>0</v>
      </c>
      <c r="H18" s="41">
        <v>0</v>
      </c>
      <c r="I18" s="40" t="s">
        <v>54</v>
      </c>
      <c r="J18" s="40" t="s">
        <v>103</v>
      </c>
      <c r="K18" s="40" t="s">
        <v>559</v>
      </c>
    </row>
    <row r="19" spans="1:11" ht="30" customHeight="1" x14ac:dyDescent="0.25">
      <c r="A19" s="38" t="s">
        <v>526</v>
      </c>
      <c r="B19" s="38" t="s">
        <v>560</v>
      </c>
      <c r="C19" s="38" t="s">
        <v>561</v>
      </c>
      <c r="D19" s="39">
        <v>77</v>
      </c>
      <c r="E19" s="39">
        <v>0</v>
      </c>
      <c r="F19" s="39">
        <v>0</v>
      </c>
      <c r="G19" s="39">
        <v>0</v>
      </c>
      <c r="H19" s="39">
        <v>0</v>
      </c>
      <c r="I19" s="38" t="s">
        <v>54</v>
      </c>
      <c r="J19" s="38" t="s">
        <v>103</v>
      </c>
      <c r="K19" s="38" t="s">
        <v>562</v>
      </c>
    </row>
    <row r="20" spans="1:11" ht="30" customHeight="1" x14ac:dyDescent="0.25">
      <c r="A20" s="38" t="s">
        <v>526</v>
      </c>
      <c r="B20" s="38" t="s">
        <v>563</v>
      </c>
      <c r="C20" s="38" t="s">
        <v>528</v>
      </c>
      <c r="D20" s="39">
        <v>77</v>
      </c>
      <c r="E20" s="39">
        <v>73</v>
      </c>
      <c r="F20" s="39">
        <v>27</v>
      </c>
      <c r="G20" s="39">
        <v>46</v>
      </c>
      <c r="H20" s="39">
        <v>4</v>
      </c>
      <c r="I20" s="38" t="s">
        <v>564</v>
      </c>
      <c r="J20" s="38" t="s">
        <v>530</v>
      </c>
      <c r="K20" s="38" t="s">
        <v>565</v>
      </c>
    </row>
    <row r="21" spans="1:11" s="14" customFormat="1" ht="39.950000000000003" customHeight="1" x14ac:dyDescent="0.25">
      <c r="A21" s="10" t="s">
        <v>526</v>
      </c>
      <c r="B21" s="10" t="s">
        <v>566</v>
      </c>
      <c r="C21" s="10" t="s">
        <v>528</v>
      </c>
      <c r="D21" s="10">
        <v>144</v>
      </c>
      <c r="E21" s="10">
        <v>144</v>
      </c>
      <c r="F21" s="10">
        <v>133</v>
      </c>
      <c r="G21" s="10">
        <v>11</v>
      </c>
      <c r="H21" s="10">
        <v>0</v>
      </c>
      <c r="I21" s="10" t="s">
        <v>567</v>
      </c>
      <c r="J21" s="10" t="s">
        <v>568</v>
      </c>
      <c r="K21" s="10" t="s">
        <v>569</v>
      </c>
    </row>
    <row r="22" spans="1:11" s="14" customFormat="1" ht="39.950000000000003" customHeight="1" x14ac:dyDescent="0.25">
      <c r="A22" s="10" t="s">
        <v>526</v>
      </c>
      <c r="B22" s="10" t="s">
        <v>570</v>
      </c>
      <c r="C22" s="10" t="s">
        <v>571</v>
      </c>
      <c r="D22" s="10">
        <v>15</v>
      </c>
      <c r="E22" s="10">
        <v>15</v>
      </c>
      <c r="F22" s="10">
        <v>15</v>
      </c>
      <c r="G22" s="10">
        <v>0</v>
      </c>
      <c r="H22" s="10">
        <v>0</v>
      </c>
      <c r="I22" s="10" t="s">
        <v>91</v>
      </c>
      <c r="J22" s="10" t="s">
        <v>568</v>
      </c>
      <c r="K22" s="10" t="s">
        <v>572</v>
      </c>
    </row>
    <row r="23" spans="1:11" s="14" customFormat="1" ht="39.950000000000003" customHeight="1" x14ac:dyDescent="0.25">
      <c r="A23" s="10" t="s">
        <v>526</v>
      </c>
      <c r="B23" s="10" t="s">
        <v>570</v>
      </c>
      <c r="C23" s="10" t="s">
        <v>573</v>
      </c>
      <c r="D23" s="10">
        <v>15</v>
      </c>
      <c r="E23" s="10">
        <v>15</v>
      </c>
      <c r="F23" s="10">
        <v>15</v>
      </c>
      <c r="G23" s="10">
        <v>0</v>
      </c>
      <c r="H23" s="10">
        <v>0</v>
      </c>
      <c r="I23" s="10" t="s">
        <v>91</v>
      </c>
      <c r="J23" s="10" t="s">
        <v>568</v>
      </c>
      <c r="K23" s="10" t="s">
        <v>574</v>
      </c>
    </row>
    <row r="24" spans="1:11" s="14" customFormat="1" ht="39.950000000000003" customHeight="1" x14ac:dyDescent="0.25">
      <c r="A24" s="10" t="s">
        <v>526</v>
      </c>
      <c r="B24" s="10" t="s">
        <v>570</v>
      </c>
      <c r="C24" s="10" t="s">
        <v>575</v>
      </c>
      <c r="D24" s="10">
        <v>15</v>
      </c>
      <c r="E24" s="10">
        <v>15</v>
      </c>
      <c r="F24" s="10">
        <v>15</v>
      </c>
      <c r="G24" s="10">
        <v>0</v>
      </c>
      <c r="H24" s="10">
        <v>0</v>
      </c>
      <c r="I24" s="10" t="s">
        <v>91</v>
      </c>
      <c r="J24" s="10" t="s">
        <v>568</v>
      </c>
      <c r="K24" s="10" t="s">
        <v>576</v>
      </c>
    </row>
    <row r="25" spans="1:11" s="14" customFormat="1" ht="39.950000000000003" customHeight="1" x14ac:dyDescent="0.25">
      <c r="A25" s="10" t="s">
        <v>526</v>
      </c>
      <c r="B25" s="10" t="s">
        <v>577</v>
      </c>
      <c r="C25" s="10" t="s">
        <v>578</v>
      </c>
      <c r="D25" s="10">
        <v>22</v>
      </c>
      <c r="E25" s="10">
        <v>22</v>
      </c>
      <c r="F25" s="10">
        <v>22</v>
      </c>
      <c r="G25" s="10">
        <v>0</v>
      </c>
      <c r="H25" s="10">
        <v>0</v>
      </c>
      <c r="I25" s="10" t="s">
        <v>91</v>
      </c>
      <c r="J25" s="10" t="s">
        <v>568</v>
      </c>
      <c r="K25" s="10" t="s">
        <v>579</v>
      </c>
    </row>
    <row r="26" spans="1:11" s="14" customFormat="1" ht="39.950000000000003" customHeight="1" x14ac:dyDescent="0.25">
      <c r="A26" s="10" t="s">
        <v>526</v>
      </c>
      <c r="B26" s="10" t="s">
        <v>580</v>
      </c>
      <c r="C26" s="10" t="s">
        <v>571</v>
      </c>
      <c r="D26" s="10">
        <v>4</v>
      </c>
      <c r="E26" s="10">
        <v>4</v>
      </c>
      <c r="F26" s="10">
        <v>4</v>
      </c>
      <c r="G26" s="10">
        <v>0</v>
      </c>
      <c r="H26" s="10">
        <v>0</v>
      </c>
      <c r="I26" s="10" t="s">
        <v>91</v>
      </c>
      <c r="J26" s="10" t="s">
        <v>568</v>
      </c>
      <c r="K26" s="10" t="s">
        <v>581</v>
      </c>
    </row>
    <row r="27" spans="1:11" s="14" customFormat="1" ht="39.950000000000003" customHeight="1" x14ac:dyDescent="0.25">
      <c r="A27" s="10" t="s">
        <v>526</v>
      </c>
      <c r="B27" s="10" t="s">
        <v>582</v>
      </c>
      <c r="C27" s="10" t="s">
        <v>528</v>
      </c>
      <c r="D27" s="10">
        <v>432</v>
      </c>
      <c r="E27" s="10">
        <v>432</v>
      </c>
      <c r="F27" s="10">
        <v>399</v>
      </c>
      <c r="G27" s="10">
        <v>33</v>
      </c>
      <c r="H27" s="10">
        <v>0</v>
      </c>
      <c r="I27" s="10" t="s">
        <v>583</v>
      </c>
      <c r="J27" s="10" t="s">
        <v>568</v>
      </c>
      <c r="K27" s="10" t="s">
        <v>584</v>
      </c>
    </row>
  </sheetData>
  <autoFilter ref="A1:K19" xr:uid="{00000000-0009-0000-0000-000006000000}"/>
  <pageMargins left="0.7" right="0.7" top="0.75" bottom="0.75" header="0.3" footer="0.3"/>
  <pageSetup orientation="portrait" useFirstPageNumber="1" horizontalDpi="4294967295" verticalDpi="429496729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Lists</vt:lpstr>
      <vt:lpstr>Daily Log</vt:lpstr>
      <vt:lpstr>Test Case Tracker</vt:lpstr>
      <vt:lpstr>Productivity Dashboard</vt:lpstr>
      <vt:lpstr>Scorecard</vt:lpstr>
      <vt:lpstr>Application Coverage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HCLClassification=Confidential</cp:keywords>
  <dc:description/>
  <cp:lastModifiedBy/>
  <cp:revision>1</cp:revision>
  <dcterms:created xsi:type="dcterms:W3CDTF">2026-09-18T05:18:10Z</dcterms:created>
  <dcterms:modified xsi:type="dcterms:W3CDTF">2026-10-08T16:30:41Z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6f642abd-4c04-4071-a17f-c310295bddc5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2026-10-08T16:30:41Z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fd230f73-e0a6-47c2-9653-40bd720cdf48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HCLClassification">
    <vt:lpwstr>HCL_Cla5s_C0nf1dent1al</vt:lpwstr>
  </property>
</Properties>
</file>